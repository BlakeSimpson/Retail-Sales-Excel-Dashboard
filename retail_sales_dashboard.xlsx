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725"/>
  <workbookPr dateCompatibility="0" defaultThemeVersion="202300"/>
  <mc:AlternateContent xmlns:mc="http://schemas.openxmlformats.org/markup-compatibility/2006">
    <mc:Choice Requires="x15">
      <x15ac:absPath xmlns:x15ac="http://schemas.microsoft.com/office/spreadsheetml/2010/11/ac" url="C:\Users\coolm\Desktop\Projects\"/>
    </mc:Choice>
  </mc:AlternateContent>
  <xr:revisionPtr revIDLastSave="0" documentId="13_ncr:9_{109727B2-3F03-4370-847B-789C89738D9A}" xr6:coauthVersionLast="47" xr6:coauthVersionMax="47" xr10:uidLastSave="{00000000-0000-0000-0000-000000000000}"/>
  <bookViews>
    <workbookView xWindow="-120" yWindow="-120" windowWidth="20730" windowHeight="11040" xr2:uid="{E19EC0DB-18FA-470B-8F9E-DA9F4EA87786}"/>
  </bookViews>
  <sheets>
    <sheet name="Dashboard" sheetId="3" r:id="rId1"/>
    <sheet name="Pivot Tables" sheetId="2" r:id="rId2"/>
    <sheet name="retail_sales_dataset" sheetId="1" r:id="rId3"/>
  </sheets>
  <definedNames>
    <definedName name="Slicer_Gender">#N/A</definedName>
    <definedName name="Slicer_Product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3" i="2" l="1"/>
  <c r="F8" i="2"/>
  <c r="E8" i="2"/>
</calcChain>
</file>

<file path=xl/sharedStrings.xml><?xml version="1.0" encoding="utf-8"?>
<sst xmlns="http://purl.oclc.org/ooxml/spreadsheetml/main" count="4065" uniqueCount="1049">
  <si>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</si>
  <si>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</si>
  <si>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</si>
  <si>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</si>
  <si>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</si>
  <si>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</si>
  <si>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</si>
  <si>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</si>
  <si>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</si>
  <si>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</si>
  <si>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</si>
  <si>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</si>
  <si>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</si>
  <si>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</si>
  <si>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</si>
  <si>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</si>
  <si>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</si>
  <si>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</si>
  <si>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</si>
  <si>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</si>
  <si>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</si>
  <si>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</si>
  <si>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</si>
  <si>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</si>
  <si>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</si>
  <si>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</si>
  <si>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</si>
  <si>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</si>
  <si>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</si>
  <si>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</si>
  <si>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</si>
  <si>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</si>
  <si>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</si>
  <si>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</si>
  <si>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</si>
  <si>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</si>
  <si>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</si>
  <si>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</si>
  <si>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</si>
  <si>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</si>
  <si>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</si>
  <si>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</si>
  <si>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</si>
  <si>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</si>
  <si>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</si>
  <si>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</si>
  <si>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</si>
  <si>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</si>
  <si>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</si>
  <si>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</si>
  <si>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</si>
  <si>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</si>
  <si>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</si>
  <si>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</si>
  <si>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</si>
  <si>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</si>
  <si>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</si>
  <si>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</si>
  <si>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</si>
  <si>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</si>
  <si>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</si>
  <si>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</si>
  <si>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</si>
  <si>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</si>
  <si>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</si>
  <si>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</si>
  <si>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</si>
  <si>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</si>
  <si>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</si>
  <si>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</si>
  <si>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</si>
  <si>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</si>
  <si>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</si>
  <si>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</si>
  <si>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</si>
  <si>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</si>
  <si>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</si>
  <si>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</si>
  <si>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</si>
  <si>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</si>
  <si>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</si>
  <si>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</si>
  <si>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</si>
  <si>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</si>
  <si>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</si>
  <si>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</si>
  <si>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</si>
  <si>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</si>
  <si>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</si>
  <si>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</si>
  <si>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</si>
  <si>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</si>
  <si>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</si>
  <si>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</si>
  <si>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</si>
  <si>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</si>
  <si>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</si>
  <si>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</si>
  <si>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</si>
  <si>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</si>
  <si>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</si>
  <si>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</si>
  <si>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</si>
  <si>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</si>
  <si>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</si>
  <si>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</si>
  <si>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</si>
  <si>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</si>
  <si>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</si>
  <si>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</si>
  <si>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</si>
  <si>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</si>
  <si>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</si>
  <si>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</si>
  <si>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</si>
  <si>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</si>
  <si>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</si>
  <si>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</si>
  <si>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</si>
  <si>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</si>
  <si>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</si>
  <si>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</si>
  <si>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</si>
  <si>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</si>
  <si>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</si>
  <si>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</si>
  <si>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</si>
  <si>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</si>
  <si>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</si>
  <si>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</si>
  <si>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</si>
  <si>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</si>
  <si>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</si>
  <si>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</si>
  <si>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</si>
  <si>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</si>
  <si>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</si>
  <si>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</si>
  <si>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</si>
  <si>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</si>
  <si>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</si>
  <si>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</si>
  <si>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</si>
  <si>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</si>
  <si>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</si>
  <si>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</si>
  <si>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</si>
  <si>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</si>
  <si>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</si>
  <si>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</si>
  <si>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</si>
  <si>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</si>
  <si>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</si>
  <si>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</si>
  <si>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</si>
  <si>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</si>
  <si>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</si>
  <si>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</si>
  <si>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</si>
  <si>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</si>
  <si>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</si>
  <si>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</si>
  <si>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</si>
  <si>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</si>
  <si>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</si>
  <si>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</si>
  <si>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</si>
  <si>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</si>
  <si>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</si>
  <si>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</si>
  <si>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</si>
  <si>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</si>
  <si>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</si>
  <si>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</si>
  <si>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</si>
  <si>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</si>
  <si>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</si>
  <si>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</si>
  <si>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</si>
  <si>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</si>
  <si>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</si>
  <si>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</si>
  <si>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</si>
  <si>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</si>
  <si>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</si>
  <si>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</si>
  <si>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</si>
  <si>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</si>
  <si>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</si>
  <si>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</si>
  <si>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</si>
  <si>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</si>
  <si>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</si>
  <si>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</si>
  <si>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</si>
  <si>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</si>
  <si>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</si>
  <si>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</si>
  <si>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</si>
  <si>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</si>
  <si>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</si>
  <si>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</si>
  <si>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</si>
  <si>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</si>
  <si>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</si>
  <si>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</si>
  <si>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</si>
  <si>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</si>
  <si>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</si>
  <si>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</si>
  <si>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</si>
  <si>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</si>
  <si>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</si>
  <si>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</si>
  <si>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</si>
  <si>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</si>
  <si>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</si>
  <si>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</si>
  <si>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</si>
  <si>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</si>
  <si>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</si>
  <si>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</si>
  <si>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</si>
  <si>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</si>
  <si>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</si>
  <si>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</si>
  <si>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</si>
  <si>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</si>
  <si>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</si>
  <si>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</si>
  <si>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</si>
  <si>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</si>
  <si>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</si>
  <si>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</si>
  <si>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</si>
  <si>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</si>
  <si>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</si>
  <si>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</si>
  <si>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</si>
  <si>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</si>
  <si>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</si>
  <si>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</si>
  <si>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</si>
  <si>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</si>
  <si>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</si>
  <si>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</si>
  <si>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</si>
  <si>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</si>
  <si>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</si>
  <si>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</si>
  <si>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</si>
  <si>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</si>
  <si>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</si>
  <si>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</si>
  <si>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</si>
  <si>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</si>
  <si>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</si>
  <si>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</si>
  <si>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</si>
  <si>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</si>
  <si>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</si>
  <si>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</si>
  <si>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</si>
  <si>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</si>
  <si>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</si>
  <si>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</si>
  <si>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</si>
  <si>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</si>
  <si>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</si>
  <si>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</si>
  <si>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</si>
  <si>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</si>
  <si>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</si>
  <si>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</si>
  <si>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</si>
  <si>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</si>
  <si>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</si>
  <si>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</si>
  <si>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</si>
  <si>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</si>
  <si>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</si>
  <si>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</si>
  <si>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</si>
  <si>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</si>
  <si>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</si>
  <si>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</si>
  <si>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</si>
  <si>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</si>
  <si>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</si>
  <si>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</si>
  <si>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</si>
  <si>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</si>
  <si>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</si>
  <si>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</si>
  <si>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</si>
  <si>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</si>
  <si>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</si>
  <si>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</si>
  <si>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</si>
  <si>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</si>
  <si>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</si>
  <si>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</si>
  <si>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</si>
  <si>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</si>
  <si>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</si>
  <si>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</si>
  <si>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</si>
  <si>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</si>
  <si>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</si>
  <si>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</si>
  <si>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</si>
  <si>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</si>
  <si>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</si>
  <si>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</si>
  <si>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</si>
  <si>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</si>
  <si>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</si>
  <si>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</si>
  <si>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</si>
  <si>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</si>
  <si>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</si>
  <si>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</si>
  <si>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</si>
  <si>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</si>
  <si>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</si>
  <si>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</si>
  <si>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</si>
  <si>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</si>
  <si>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</si>
  <si>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</si>
  <si>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</si>
  <si>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</si>
  <si>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</si>
  <si>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</si>
  <si>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</si>
  <si>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</si>
  <si>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</si>
  <si>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</si>
  <si>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</si>
  <si>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</si>
  <si>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</si>
  <si>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</si>
  <si>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</si>
  <si>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</si>
  <si>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</si>
  <si>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</si>
  <si>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</si>
  <si>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</si>
  <si>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</si>
  <si>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</si>
  <si>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</si>
  <si>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</si>
  <si>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</si>
  <si>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</si>
  <si>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</si>
  <si>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</si>
  <si>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</si>
  <si>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</si>
  <si>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</si>
  <si>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</si>
  <si>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</si>
  <si>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</si>
  <si>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</si>
  <si>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</si>
  <si>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</si>
  <si>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</si>
  <si>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</si>
  <si>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</si>
  <si>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</si>
  <si>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</si>
  <si>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</si>
  <si>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</si>
  <si>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</si>
  <si>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</si>
  <si>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</si>
  <si>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</si>
  <si>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</si>
  <si>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</si>
  <si>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</si>
  <si>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</si>
  <si>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</si>
  <si>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</si>
  <si>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</si>
  <si>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</si>
  <si>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</si>
  <si>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</si>
  <si>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</si>
  <si>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</si>
  <si>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</si>
  <si>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</si>
  <si>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</si>
  <si>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</si>
  <si>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</si>
  <si>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</si>
  <si>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</si>
  <si>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</si>
  <si>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</si>
  <si>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</si>
  <si>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</si>
  <si>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</si>
  <si>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</si>
  <si>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</si>
  <si>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</si>
  <si>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</si>
  <si>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</si>
  <si>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</si>
  <si>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</si>
  <si>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</si>
  <si>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</si>
  <si>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</si>
  <si>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</si>
  <si>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</si>
  <si>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</si>
  <si>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</si>
  <si>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</si>
  <si>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</si>
  <si>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</si>
  <si>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</si>
  <si>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</si>
  <si>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</si>
  <si>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</si>
  <si>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</si>
  <si>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</si>
  <si>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</si>
  <si>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</si>
  <si>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</si>
  <si>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</si>
  <si>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</si>
  <si>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</si>
  <si>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</si>
  <si>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</si>
  <si>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</si>
  <si>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</si>
  <si>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</si>
  <si>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</si>
  <si>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</si>
  <si>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</si>
  <si>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</si>
  <si>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</si>
  <si>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</si>
  <si>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</si>
  <si>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</si>
  <si>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</si>
  <si>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</si>
  <si>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</si>
  <si>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</si>
  <si>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</si>
  <si>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</si>
  <si>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</si>
  <si>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</si>
  <si>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</si>
  <si>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</si>
  <si>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</si>
  <si>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</si>
  <si>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</si>
  <si>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</si>
  <si>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</si>
  <si>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</si>
  <si>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</si>
  <si>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</si>
  <si>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</si>
  <si>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</si>
  <si>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</si>
  <si>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</si>
  <si>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</si>
  <si>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</si>
  <si>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</si>
  <si>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</si>
  <si>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</si>
  <si>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</si>
  <si>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</si>
  <si>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</si>
  <si>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</si>
  <si>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</si>
  <si>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</si>
  <si>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</si>
  <si>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</si>
  <si>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</si>
  <si>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</si>
  <si>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</si>
  <si>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</si>
  <si>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</si>
  <si>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</si>
  <si>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</si>
  <si>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</si>
  <si>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</si>
  <si>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</si>
  <si>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</si>
  <si>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</si>
  <si>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</si>
  <si>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</si>
  <si>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</si>
  <si>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</si>
  <si>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</si>
  <si>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</si>
  <si>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</si>
  <si>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</si>
  <si>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</si>
  <si>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</si>
  <si>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</si>
  <si>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</si>
  <si>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</si>
  <si>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</si>
  <si>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</si>
  <si>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</si>
  <si>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</si>
  <si>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</si>
  <si>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</si>
  <si>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</si>
  <si>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</si>
  <si>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</si>
  <si>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</si>
  <si>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</si>
  <si>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</si>
  <si>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</si>
  <si>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</si>
  <si>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</si>
  <si>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</si>
  <si>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</si>
  <si>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</si>
  <si>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</si>
  <si>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</si>
  <si>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</si>
  <si>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</si>
  <si>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</si>
  <si>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</si>
  <si>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</si>
  <si>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</si>
  <si>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</si>
  <si>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</si>
  <si>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</si>
  <si>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</si>
  <si>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</si>
  <si>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</si>
  <si>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</si>
  <si>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</si>
  <si>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</si>
  <si>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</si>
  <si>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</si>
  <si>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</si>
  <si>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</si>
  <si>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</si>
  <si>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</si>
  <si>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</si>
  <si>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</si>
  <si>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</si>
  <si>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</si>
  <si>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</si>
  <si>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</si>
  <si>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</si>
  <si>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</si>
  <si>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</si>
  <si>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</si>
  <si>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</si>
  <si>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</si>
  <si>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</si>
  <si>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</si>
  <si>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</si>
  <si>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</si>
  <si>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</si>
  <si>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</si>
  <si>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</si>
  <si>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</si>
  <si>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</si>
  <si>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</si>
  <si>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</si>
  <si>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</si>
  <si>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</si>
  <si>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</si>
  <si>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</si>
  <si>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</si>
  <si>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</si>
  <si>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</si>
  <si>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</si>
  <si>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</si>
  <si>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</si>
  <si>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</si>
  <si>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</si>
  <si>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</si>
  <si>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</si>
  <si>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</si>
  <si>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</si>
  <si>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</si>
  <si>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</si>
  <si>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</si>
  <si>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</si>
  <si>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</si>
  <si>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</si>
  <si>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</si>
  <si>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</si>
  <si>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</si>
  <si>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</si>
  <si>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</si>
  <si>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</si>
  <si>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</si>
  <si>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</si>
  <si>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</si>
  <si>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</si>
  <si>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</si>
  <si>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</si>
  <si>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</si>
  <si>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</si>
  <si>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</si>
  <si>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</si>
  <si>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</si>
  <si>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</si>
  <si>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</si>
  <si>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</si>
  <si>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</si>
  <si>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</si>
  <si>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</si>
  <si>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</si>
  <si>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</si>
  <si>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</si>
  <si>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</si>
  <si>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</si>
  <si>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</si>
  <si>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</si>
  <si>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</si>
  <si>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</si>
  <si>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</si>
  <si>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</si>
  <si>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</si>
  <si>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</si>
  <si>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</si>
  <si>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</si>
  <si>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</si>
  <si>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</si>
  <si>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</si>
  <si>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</si>
  <si>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</si>
  <si>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</si>
  <si>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</si>
  <si>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</si>
  <si>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</si>
  <si>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</si>
  <si>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</si>
  <si>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</si>
  <si>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</si>
  <si>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</si>
  <si>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</si>
  <si>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</si>
  <si>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</si>
  <si>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</si>
  <si>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</si>
  <si>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</si>
  <si>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</si>
  <si>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</si>
  <si>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</si>
  <si>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</si>
  <si>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</si>
  <si>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</si>
  <si>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</si>
  <si>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</si>
  <si>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</si>
  <si>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</si>
  <si>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</si>
  <si>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</si>
  <si>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</si>
  <si>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</si>
  <si>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</si>
  <si>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</si>
  <si>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</si>
  <si>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</si>
  <si>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</si>
  <si>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</si>
  <si>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</si>
  <si>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</si>
  <si>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</si>
  <si>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</si>
  <si>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</si>
  <si>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</si>
  <si>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</si>
  <si>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</si>
  <si>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</si>
  <si>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</si>
  <si>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</si>
  <si>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</si>
  <si>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</si>
  <si>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</si>
  <si>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</si>
  <si>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</si>
  <si>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</si>
  <si>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</si>
  <si>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</si>
  <si>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</si>
  <si>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</si>
  <si>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</si>
  <si>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</si>
  <si>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</si>
  <si>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</si>
  <si>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</si>
  <si>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</si>
  <si>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</si>
  <si>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</si>
  <si>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</si>
  <si>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</si>
  <si>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</si>
  <si>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</si>
  <si>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</si>
  <si>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</si>
  <si>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</si>
  <si>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</si>
  <si>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</si>
  <si>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</si>
  <si>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</si>
  <si>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</si>
  <si>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</si>
  <si>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</si>
  <si>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</si>
  <si>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</si>
  <si>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</si>
  <si>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</si>
  <si>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</si>
  <si>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</si>
  <si>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</si>
  <si>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</si>
  <si>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</si>
  <si>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</si>
  <si>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</si>
  <si>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</si>
  <si>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</si>
  <si>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</si>
  <si>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</si>
  <si>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</si>
  <si>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</si>
  <si>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</si>
  <si>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</si>
  <si>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</si>
  <si>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</si>
  <si>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</si>
  <si>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</si>
  <si>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</si>
  <si>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</si>
  <si>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</si>
  <si>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</si>
  <si>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</si>
  <si>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</si>
  <si>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</si>
  <si>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</si>
  <si>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</si>
  <si>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</si>
  <si>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</si>
  <si>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</si>
  <si>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</si>
  <si>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</si>
  <si>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</si>
  <si>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</si>
  <si>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</si>
  <si>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</si>
  <si>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</si>
  <si>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</si>
  <si>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</si>
  <si>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</si>
  <si>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</si>
  <si>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</si>
  <si>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</si>
  <si>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</si>
  <si>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</si>
  <si>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</si>
  <si>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</si>
  <si>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</si>
  <si>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</si>
  <si>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</si>
  <si>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</si>
  <si>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</si>
  <si>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</si>
  <si>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</si>
  <si>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</si>
  <si>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</si>
  <si>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</si>
  <si>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</si>
  <si>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</si>
  <si>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</si>
  <si>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</si>
  <si>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</si>
  <si>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</si>
  <si>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</si>
  <si>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</si>
  <si>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</si>
  <si>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</si>
  <si>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</si>
  <si>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</si>
  <si>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</si>
  <si>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</si>
  <si>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</si>
  <si>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</si>
  <si>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</si>
  <si>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</si>
  <si>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</si>
  <si>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</si>
  <si>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</si>
  <si>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</si>
  <si>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</si>
  <si>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</si>
  <si>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</si>
  <si>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</si>
  <si>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</si>
  <si>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</si>
  <si>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</si>
  <si>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</si>
  <si>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</si>
  <si>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</si>
  <si>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</si>
  <si>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</si>
  <si>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</si>
  <si>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</si>
  <si>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</si>
  <si>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</si>
  <si>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</si>
  <si>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</si>
  <si>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</si>
  <si>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</si>
  <si>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</si>
  <si>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</si>
  <si>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</si>
  <si>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</si>
  <si>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</si>
  <si>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</si>
  <si>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</si>
  <si>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</si>
  <si>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</si>
  <si>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</si>
  <si>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</si>
  <si>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</si>
  <si>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</si>
  <si>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</si>
  <si>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</si>
  <si>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</si>
  <si>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</si>
  <si>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</si>
  <si>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</si>
  <si>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</si>
  <si>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</si>
  <si>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</si>
  <si>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</si>
  <si>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</si>
  <si>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</si>
  <si>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</si>
  <si>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</si>
  <si>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</si>
  <si>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</si>
  <si>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</si>
  <si>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</si>
  <si>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</si>
  <si>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</si>
  <si>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</si>
  <si>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</si>
  <si>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</si>
  <si>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</si>
  <si>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</si>
  <si>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</si>
  <si>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</si>
  <si>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</si>
  <si>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</si>
  <si>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</si>
  <si>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</si>
  <si>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</si>
  <si>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</si>
  <si>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</si>
  <si>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</si>
  <si>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</si>
  <si>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</si>
  <si>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</si>
  <si>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</si>
  <si>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</si>
  <si>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</si>
  <si>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</si>
  <si>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</si>
  <si>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</si>
  <si>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</si>
  <si>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</si>
  <si>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</si>
  <si>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</si>
  <si>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</si>
  <si>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</si>
  <si>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</si>
  <si>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</si>
  <si>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</si>
  <si>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</si>
  <si>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</si>
  <si>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</si>
  <si>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</si>
  <si>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</si>
  <si>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</si>
  <si>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</si>
  <si>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</si>
  <si>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</si>
  <si>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</si>
  <si>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</si>
  <si>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</si>
  <si>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</si>
  <si>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</si>
  <si>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</si>
  <si>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</si>
  <si>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</si>
  <si>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</si>
  <si>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</si>
  <si>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</si>
  <si>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</si>
  <si>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</si>
  <si>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</si>
  <si>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</si>
  <si>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</si>
  <si>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</si>
  <si>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</si>
  <si>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</si>
  <si>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</si>
  <si>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</si>
  <si>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</si>
  <si>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</si>
  <si>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</si>
  <si>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</si>
  <si>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</si>
  <si>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</si>
  <si>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</si>
  <si>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</si>
  <si>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</si>
  <si>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</si>
  <si>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</si>
  <si>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</si>
  <si>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</si>
  <si>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</si>
  <si>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</si>
  <si>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</si>
  <si>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</si>
  <si>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</si>
  <si>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</si>
  <si>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</si>
  <si>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</si>
  <si>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</si>
  <si>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</si>
  <si>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</si>
  <si>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</si>
  <si>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</si>
  <si>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</si>
  <si>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</si>
  <si>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</si>
  <si>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</si>
  <si>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</si>
  <si>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</si>
  <si>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</si>
  <si>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</si>
  <si>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</si>
  <si>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</si>
  <si>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</si>
  <si>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</si>
  <si>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</si>
  <si>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</si>
  <si>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</si>
  <si>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</si>
  <si>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</si>
  <si>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</si>
  <si>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</si>
  <si>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</si>
  <si>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</si>
  <si>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</si>
  <si>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</si>
  <si>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</si>
  <si>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</si>
  <si>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</si>
  <si>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</si>
  <si>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</si>
  <si>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</si>
  <si>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</si>
  <si>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</si>
  <si>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</si>
  <si>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</si>
  <si>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</si>
  <si>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</si>
  <si>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</si>
  <si>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</si>
  <si>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</si>
  <si>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</si>
  <si>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</si>
  <si>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</si>
  <si>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</si>
  <si>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</si>
  <si>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</si>
  <si>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</si>
  <si>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</si>
  <si>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</si>
  <si>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</si>
  <si>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</si>
  <si>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</si>
  <si>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</si>
  <si>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</si>
  <si>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</si>
  <si>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</si>
  <si>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</si>
  <si>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</si>
  <si>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</si>
  <si>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</si>
  <si>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</si>
  <si>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</si>
  <si>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</si>
  <si>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</si>
  <si>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</si>
  <si>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</si>
  <si>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</si>
  <si>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</si>
  <si>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</si>
  <si>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</si>
  <si>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</si>
  <si>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</si>
  <si>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</si>
  <si>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</si>
  <si>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</si>
  <si>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</si>
  <si>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</si>
  <si>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</si>
  <si>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</si>
  <si>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</si>
  <si>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</si>
  <si>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</si>
  <si>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</si>
  <si>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Count of Gender</t>
  </si>
  <si>
    <t>Source:</t>
  </si>
  <si>
    <t>https://www.kaggle.com/datasets/mohammadtalib786/retail-sales-dataset</t>
  </si>
  <si>
    <t>Sum of Total Amount</t>
  </si>
  <si>
    <t>Count of Customer ID</t>
  </si>
  <si>
    <t>Sum of Quantity</t>
  </si>
  <si>
    <t>Unique Costumers Count</t>
  </si>
  <si>
    <t>Count of Date</t>
  </si>
  <si>
    <t>Jan</t>
  </si>
  <si>
    <t>Feb</t>
  </si>
  <si>
    <t>Mar</t>
  </si>
  <si>
    <t>Apr</t>
  </si>
  <si>
    <t>May</t>
  </si>
  <si>
    <t>Jun</t>
  </si>
  <si>
    <t>Jul</t>
  </si>
  <si>
    <t>Aug</t>
  </si>
  <si>
    <t>Sep</t>
  </si>
  <si>
    <t>Oct</t>
  </si>
  <si>
    <t>Nov</t>
  </si>
  <si>
    <t>Dec</t>
  </si>
  <si>
    <t>Count of Age</t>
  </si>
  <si>
    <t>Column Labels</t>
  </si>
  <si>
    <t>15-19</t>
  </si>
  <si>
    <t>20-24</t>
  </si>
  <si>
    <t>25-29</t>
  </si>
  <si>
    <t>30-34</t>
  </si>
  <si>
    <t>35-39</t>
  </si>
  <si>
    <t>40-44</t>
  </si>
  <si>
    <t>45-49</t>
  </si>
  <si>
    <t>50-54</t>
  </si>
  <si>
    <t>55-59</t>
  </si>
  <si>
    <t>60-65</t>
  </si>
  <si>
    <t>Count of Total Amount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</si>
</sst>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 numFmtId="167" formatCode="_([$$-409]* #,##0_);_([$$-409]* \(#,##0\);_([$$-409]*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0" tint="-0.14999847407452621"/>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1" fontId="0" fillId="0" borderId="0" xfId="0" applyNumberFormat="1" applyAlignment="1">
      <alignment horizontal="left"/>
    </xf>
    <xf numFmtId="164" fontId="0" fillId="0" borderId="0" xfId="0" applyNumberFormat="1"/>
    <xf numFmtId="164" fontId="0" fillId="0" borderId="0" xfId="1" applyNumberFormat="1" applyFont="1"/>
    <xf numFmtId="165" fontId="0" fillId="0" borderId="0" xfId="2" applyNumberFormat="1" applyFont="1"/>
    <xf numFmtId="165" fontId="0" fillId="0" borderId="0" xfId="0" applyNumberFormat="1"/>
    <xf numFmtId="166" fontId="0" fillId="0" borderId="0" xfId="0" applyNumberFormat="1" applyAlignment="1">
      <alignment horizontal="left"/>
    </xf>
    <xf numFmtId="167" fontId="0" fillId="0" borderId="0" xfId="0" applyNumberFormat="1" applyAlignment="1">
      <alignment horizontal="left"/>
    </xf>
    <xf numFmtId="166" fontId="0" fillId="0" borderId="0" xfId="0" applyNumberFormat="1"/>
    <xf numFmtId="166" fontId="0" fillId="0" borderId="0" xfId="2" applyNumberFormat="1"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9">
    <dxf>
      <numFmt numFmtId="166" formatCode="&quot;$&quot;#,##0"/>
    </dxf>
    <dxf>
      <numFmt numFmtId="166" formatCode="&quot;$&quot;#,##0"/>
    </dxf>
    <dxf>
      <numFmt numFmtId="1" formatCode="0"/>
    </dxf>
    <dxf>
      <numFmt numFmtId="1" formatCode="0"/>
    </dxf>
    <dxf>
      <numFmt numFmtId="19" formatCode="m/d/yyyy"/>
    </dxf>
    <dxf>
      <numFmt numFmtId="165" formatCode="_(&quot;$&quot;* #,##0_);_(&quot;$&quot;* \(#,##0\);_(&quot;$&quot;* &quot;-&quot;??_);_(@_)"/>
    </dxf>
    <dxf>
      <numFmt numFmtId="164" formatCode="_(* #,##0_);_(* \(#,##0\);_(* &quot;-&quot;??_);_(@_)"/>
    </dxf>
    <dxf>
      <numFmt numFmtId="167" formatCode="_([$$-409]* #,##0_);_([$$-409]* \(#,##0\);_([$$-409]* &quot;-&quot;??_);_(@_)"/>
    </dxf>
    <dxf>
      <numFmt numFmtId="166" formatCode="&quot;$&quot;#,##0"/>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tyles" Target="styles.xml"/><Relationship Id="rId3" Type="http://purl.oclc.org/ooxml/officeDocument/relationships/worksheet" Target="worksheets/sheet3.xml"/><Relationship Id="rId7"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purl.oclc.org/ooxml/officeDocument/relationships/calcChain" Target="calcChain.xml"/><Relationship Id="rId4" Type="http://purl.oclc.org/ooxml/officeDocument/relationships/pivotCacheDefinition" Target="pivotCache/pivotCacheDefinition1.xml"/><Relationship Id="rId9" Type="http://purl.oclc.org/ooxml/officeDocument/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Tables!PivotTable1</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tx2">
              <a:lumMod val="50%"/>
              <a:lumOff val="50%"/>
            </a:schemeClr>
          </a:solidFill>
          <a:ln w="19050">
            <a:solidFill>
              <a:schemeClr val="lt1"/>
            </a:solidFill>
          </a:ln>
          <a:effectLst/>
        </c:spPr>
      </c:pivotFmt>
      <c:pivotFmt>
        <c:idx val="2"/>
        <c:spPr>
          <a:solidFill>
            <a:srgbClr val="FF33CC"/>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FF33CC"/>
          </a:solidFill>
          <a:ln w="19050">
            <a:solidFill>
              <a:schemeClr val="lt1"/>
            </a:solidFill>
          </a:ln>
          <a:effectLst/>
        </c:spPr>
      </c:pivotFmt>
      <c:pivotFmt>
        <c:idx val="5"/>
        <c:spPr>
          <a:solidFill>
            <a:schemeClr val="tx2">
              <a:lumMod val="50%"/>
              <a:lumOff val="5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FF33CC"/>
          </a:solidFill>
          <a:ln w="19050">
            <a:solidFill>
              <a:schemeClr val="lt1"/>
            </a:solidFill>
          </a:ln>
          <a:effectLst/>
        </c:spPr>
      </c:pivotFmt>
      <c:pivotFmt>
        <c:idx val="8"/>
        <c:spPr>
          <a:solidFill>
            <a:schemeClr val="tx2">
              <a:lumMod val="50%"/>
              <a:lumOff val="50%"/>
            </a:schemeClr>
          </a:solidFill>
          <a:ln w="19050">
            <a:solidFill>
              <a:schemeClr val="lt1"/>
            </a:solidFill>
          </a:ln>
          <a:effectLst/>
        </c:spPr>
      </c:pivotFmt>
    </c:pivotFmts>
    <c:plotArea>
      <c:layout/>
      <c:pieChart>
        <c:varyColors val="1"/>
        <c:ser>
          <c:idx val="0"/>
          <c:order val="0"/>
          <c:tx>
            <c:strRef>
              <c:f>'Pivot Tables'!$B$2</c:f>
              <c:strCache>
                <c:ptCount val="1"/>
                <c:pt idx="0">
                  <c:v>Total</c:v>
                </c:pt>
              </c:strCache>
            </c:strRef>
          </c:tx>
          <c:dPt>
            <c:idx val="0"/>
            <c:bubble3D val="0"/>
            <c:spPr>
              <a:solidFill>
                <a:srgbClr val="FF33CC"/>
              </a:solidFill>
              <a:ln w="19050">
                <a:solidFill>
                  <a:schemeClr val="lt1"/>
                </a:solidFill>
              </a:ln>
              <a:effectLst/>
            </c:spPr>
            <c:extLst>
              <c:ext xmlns:c16="http://schemas.microsoft.com/office/drawing/2014/chart" uri="{C3380CC4-5D6E-409C-BE32-E72D297353CC}">
                <c16:uniqueId val="{00000001-9886-4024-8EFB-7BCA70F97EC0}"/>
              </c:ext>
            </c:extLst>
          </c:dPt>
          <c:dPt>
            <c:idx val="1"/>
            <c:bubble3D val="0"/>
            <c:spPr>
              <a:solidFill>
                <a:schemeClr val="tx2">
                  <a:lumMod val="50%"/>
                  <a:lumOff val="50%"/>
                </a:schemeClr>
              </a:solidFill>
              <a:ln w="19050">
                <a:solidFill>
                  <a:schemeClr val="lt1"/>
                </a:solidFill>
              </a:ln>
              <a:effectLst/>
            </c:spPr>
            <c:extLst>
              <c:ext xmlns:c16="http://schemas.microsoft.com/office/drawing/2014/chart" uri="{C3380CC4-5D6E-409C-BE32-E72D297353CC}">
                <c16:uniqueId val="{00000003-9886-4024-8EFB-7BCA70F97EC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1"/>
            <c:showSerName val="0"/>
            <c:showPercent val="1"/>
            <c:showBubbleSize val="0"/>
            <c:separator>
</c:separator>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'Pivot Tables'!$A$3:$A$5</c:f>
              <c:strCache>
                <c:ptCount val="2"/>
                <c:pt idx="0">
                  <c:v>Female</c:v>
                </c:pt>
                <c:pt idx="1">
                  <c:v>Male</c:v>
                </c:pt>
              </c:strCache>
            </c:strRef>
          </c:cat>
          <c:val>
            <c:numRef>
              <c:f>'Pivot Tables'!$B$3:$B$5</c:f>
              <c:numCache>
                <c:formatCode>General</c:formatCode>
                <c:ptCount val="2"/>
                <c:pt idx="0">
                  <c:v>510</c:v>
                </c:pt>
                <c:pt idx="1">
                  <c:v>490</c:v>
                </c:pt>
              </c:numCache>
            </c:numRef>
          </c:val>
          <c:extLst>
            <c:ext xmlns:c16="http://schemas.microsoft.com/office/drawing/2014/chart" uri="{C3380CC4-5D6E-409C-BE32-E72D297353CC}">
              <c16:uniqueId val="{00000004-9886-4024-8EFB-7BCA70F97EC0}"/>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Tables!PivotTable7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Tables'!$M$3</c:f>
              <c:strCache>
                <c:ptCount val="1"/>
                <c:pt idx="0">
                  <c:v>Total</c:v>
                </c:pt>
              </c:strCache>
            </c:strRef>
          </c:tx>
          <c:spPr>
            <a:ln w="28575" cap="rnd">
              <a:solidFill>
                <a:schemeClr val="accent1"/>
              </a:solidFill>
              <a:round/>
            </a:ln>
            <a:effectLst/>
          </c:spPr>
          <c:marker>
            <c:symbol val="none"/>
          </c:marker>
          <c:cat>
            <c:strRef>
              <c:f>'Pivot Tables'!$L$4:$L$16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Tables'!$M$4:$M$16</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smooth val="0"/>
          <c:extLst>
            <c:ext xmlns:c16="http://schemas.microsoft.com/office/drawing/2014/chart" uri="{C3380CC4-5D6E-409C-BE32-E72D297353CC}">
              <c16:uniqueId val="{00000000-1DDC-46E1-9FE0-B54014F3AFFD}"/>
            </c:ext>
          </c:extLst>
        </c:ser>
        <c:dLbls>
          <c:showLegendKey val="0"/>
          <c:showVal val="0"/>
          <c:showCatName val="0"/>
          <c:showSerName val="0"/>
          <c:showPercent val="0"/>
          <c:showBubbleSize val="0"/>
        </c:dLbls>
        <c:smooth val="0"/>
        <c:axId val="1167826687"/>
        <c:axId val="1167827167"/>
      </c:lineChart>
      <c:catAx>
        <c:axId val="116782668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67827167"/>
        <c:crosses val="autoZero"/>
        <c:auto val="1"/>
        <c:lblAlgn val="ctr"/>
        <c:lblOffset val="100"/>
        <c:noMultiLvlLbl val="0"/>
      </c:catAx>
      <c:valAx>
        <c:axId val="1167827167"/>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6782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Tables!PivotTable2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tx2">
              <a:lumMod val="25%"/>
              <a:lumOff val="75%"/>
            </a:schemeClr>
          </a:solidFill>
          <a:ln w="19050">
            <a:solidFill>
              <a:schemeClr val="lt1"/>
            </a:solidFill>
          </a:ln>
          <a:effectLst/>
        </c:spPr>
      </c:pivotFmt>
      <c:pivotFmt>
        <c:idx val="12"/>
        <c:spPr>
          <a:solidFill>
            <a:schemeClr val="accent1">
              <a:lumMod val="40%"/>
              <a:lumOff val="60%"/>
            </a:schemeClr>
          </a:solidFill>
          <a:ln w="19050">
            <a:solidFill>
              <a:schemeClr val="lt1"/>
            </a:solidFill>
          </a:ln>
          <a:effectLst/>
        </c:spPr>
      </c:pivotFmt>
      <c:pivotFmt>
        <c:idx val="13"/>
        <c:spPr>
          <a:solidFill>
            <a:schemeClr val="accent1">
              <a:lumMod val="60%"/>
              <a:lumOff val="4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Tables'!$E$2</c:f>
              <c:strCache>
                <c:ptCount val="1"/>
                <c:pt idx="0">
                  <c:v>Sum of Total Amount</c:v>
                </c:pt>
              </c:strCache>
            </c:strRef>
          </c:tx>
          <c:dPt>
            <c:idx val="0"/>
            <c:bubble3D val="0"/>
            <c:spPr>
              <a:solidFill>
                <a:schemeClr val="tx2">
                  <a:lumMod val="25%"/>
                  <a:lumOff val="75%"/>
                </a:schemeClr>
              </a:solidFill>
              <a:ln w="19050">
                <a:solidFill>
                  <a:schemeClr val="lt1"/>
                </a:solidFill>
              </a:ln>
              <a:effectLst/>
            </c:spPr>
            <c:extLst>
              <c:ext xmlns:c16="http://schemas.microsoft.com/office/drawing/2014/chart" uri="{C3380CC4-5D6E-409C-BE32-E72D297353CC}">
                <c16:uniqueId val="{00000001-ADDD-4DBA-8A16-A35BB0E4AFAC}"/>
              </c:ext>
            </c:extLst>
          </c:dPt>
          <c:dPt>
            <c:idx val="1"/>
            <c:bubble3D val="0"/>
            <c:spPr>
              <a:solidFill>
                <a:schemeClr val="accent1">
                  <a:lumMod val="40%"/>
                  <a:lumOff val="60%"/>
                </a:schemeClr>
              </a:solidFill>
              <a:ln w="19050">
                <a:solidFill>
                  <a:schemeClr val="lt1"/>
                </a:solidFill>
              </a:ln>
              <a:effectLst/>
            </c:spPr>
            <c:extLst>
              <c:ext xmlns:c16="http://schemas.microsoft.com/office/drawing/2014/chart" uri="{C3380CC4-5D6E-409C-BE32-E72D297353CC}">
                <c16:uniqueId val="{00000003-ADDD-4DBA-8A16-A35BB0E4AFAC}"/>
              </c:ext>
            </c:extLst>
          </c:dPt>
          <c:dPt>
            <c:idx val="2"/>
            <c:bubble3D val="0"/>
            <c:spPr>
              <a:solidFill>
                <a:schemeClr val="accent1">
                  <a:lumMod val="60%"/>
                  <a:lumOff val="40%"/>
                </a:schemeClr>
              </a:solidFill>
              <a:ln w="19050">
                <a:solidFill>
                  <a:schemeClr val="lt1"/>
                </a:solidFill>
              </a:ln>
              <a:effectLst/>
            </c:spPr>
            <c:extLst>
              <c:ext xmlns:c16="http://schemas.microsoft.com/office/drawing/2014/chart" uri="{C3380CC4-5D6E-409C-BE32-E72D297353CC}">
                <c16:uniqueId val="{00000005-ADDD-4DBA-8A16-A35BB0E4AF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'Pivot Tables'!$D$3:$D$6</c:f>
              <c:strCache>
                <c:ptCount val="3"/>
                <c:pt idx="0">
                  <c:v>Beauty</c:v>
                </c:pt>
                <c:pt idx="1">
                  <c:v>Clothing</c:v>
                </c:pt>
                <c:pt idx="2">
                  <c:v>Electronics</c:v>
                </c:pt>
              </c:strCache>
            </c:strRef>
          </c:cat>
          <c:val>
            <c:numRef>
              <c:f>'Pivot Tables'!$E$3:$E$6</c:f>
              <c:numCache>
                <c:formatCode>_("$"* #,##0_);_("$"* \(#,##0\);_("$"* "-"??_);_(@_)</c:formatCode>
                <c:ptCount val="3"/>
                <c:pt idx="0">
                  <c:v>143515</c:v>
                </c:pt>
                <c:pt idx="1">
                  <c:v>155580</c:v>
                </c:pt>
                <c:pt idx="2">
                  <c:v>156905</c:v>
                </c:pt>
              </c:numCache>
            </c:numRef>
          </c:val>
          <c:extLst>
            <c:ext xmlns:c16="http://schemas.microsoft.com/office/drawing/2014/chart" uri="{C3380CC4-5D6E-409C-BE32-E72D297353CC}">
              <c16:uniqueId val="{00000006-ADDD-4DBA-8A16-A35BB0E4AFAC}"/>
            </c:ext>
          </c:extLst>
        </c:ser>
        <c:ser>
          <c:idx val="1"/>
          <c:order val="1"/>
          <c:tx>
            <c:strRef>
              <c:f>'Pivot Tables'!$F$2</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ADDD-4DBA-8A16-A35BB0E4AF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ADDD-4DBA-8A16-A35BB0E4AF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ADDD-4DBA-8A16-A35BB0E4AF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'Pivot Tables'!$D$3:$D$6</c:f>
              <c:strCache>
                <c:ptCount val="3"/>
                <c:pt idx="0">
                  <c:v>Beauty</c:v>
                </c:pt>
                <c:pt idx="1">
                  <c:v>Clothing</c:v>
                </c:pt>
                <c:pt idx="2">
                  <c:v>Electronics</c:v>
                </c:pt>
              </c:strCache>
            </c:strRef>
          </c:cat>
          <c:val>
            <c:numRef>
              <c:f>'Pivot Tables'!$F$3:$F$6</c:f>
              <c:numCache>
                <c:formatCode>_(* #,##0_);_(* \(#,##0\);_(* "-"??_);_(@_)</c:formatCode>
                <c:ptCount val="3"/>
                <c:pt idx="0">
                  <c:v>771</c:v>
                </c:pt>
                <c:pt idx="1">
                  <c:v>894</c:v>
                </c:pt>
                <c:pt idx="2">
                  <c:v>849</c:v>
                </c:pt>
              </c:numCache>
            </c:numRef>
          </c:val>
          <c:extLst>
            <c:ext xmlns:c16="http://schemas.microsoft.com/office/drawing/2014/chart" uri="{C3380CC4-5D6E-409C-BE32-E72D297353CC}">
              <c16:uniqueId val="{0000000D-ADDD-4DBA-8A16-A35BB0E4AFA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Tables!PivotTable8</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
              <a:lumOff val="25%"/>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Tables'!$P$2:$P$3</c:f>
              <c:strCache>
                <c:ptCount val="1"/>
                <c:pt idx="0">
                  <c:v>Female</c:v>
                </c:pt>
              </c:strCache>
            </c:strRef>
          </c:tx>
          <c:spPr>
            <a:solidFill>
              <a:srgbClr val="FF33CC"/>
            </a:solidFill>
            <a:ln>
              <a:noFill/>
            </a:ln>
            <a:effectLst/>
          </c:spPr>
          <c:invertIfNegative val="0"/>
          <c:cat>
            <c:strRef>
              <c:f>'Pivot Tables'!$O$4:$O$14</c:f>
              <c:strCache>
                <c:ptCount val="10"/>
                <c:pt idx="0">
                  <c:v>15-19</c:v>
                </c:pt>
                <c:pt idx="1">
                  <c:v>20-24</c:v>
                </c:pt>
                <c:pt idx="2">
                  <c:v>25-29</c:v>
                </c:pt>
                <c:pt idx="3">
                  <c:v>30-34</c:v>
                </c:pt>
                <c:pt idx="4">
                  <c:v>35-39</c:v>
                </c:pt>
                <c:pt idx="5">
                  <c:v>40-44</c:v>
                </c:pt>
                <c:pt idx="6">
                  <c:v>45-49</c:v>
                </c:pt>
                <c:pt idx="7">
                  <c:v>50-54</c:v>
                </c:pt>
                <c:pt idx="8">
                  <c:v>55-59</c:v>
                </c:pt>
                <c:pt idx="9">
                  <c:v>60-65</c:v>
                </c:pt>
              </c:strCache>
            </c:strRef>
          </c:cat>
          <c:val>
            <c:numRef>
              <c:f>'Pivot Tables'!$P$4:$P$14</c:f>
              <c:numCache>
                <c:formatCode>General</c:formatCode>
                <c:ptCount val="10"/>
                <c:pt idx="0">
                  <c:v>24</c:v>
                </c:pt>
                <c:pt idx="1">
                  <c:v>48</c:v>
                </c:pt>
                <c:pt idx="2">
                  <c:v>57</c:v>
                </c:pt>
                <c:pt idx="3">
                  <c:v>45</c:v>
                </c:pt>
                <c:pt idx="4">
                  <c:v>48</c:v>
                </c:pt>
                <c:pt idx="5">
                  <c:v>64</c:v>
                </c:pt>
                <c:pt idx="6">
                  <c:v>57</c:v>
                </c:pt>
                <c:pt idx="7">
                  <c:v>58</c:v>
                </c:pt>
                <c:pt idx="8">
                  <c:v>54</c:v>
                </c:pt>
                <c:pt idx="9">
                  <c:v>55</c:v>
                </c:pt>
              </c:numCache>
            </c:numRef>
          </c:val>
          <c:extLst>
            <c:ext xmlns:c16="http://schemas.microsoft.com/office/drawing/2014/chart" uri="{C3380CC4-5D6E-409C-BE32-E72D297353CC}">
              <c16:uniqueId val="{00000000-FC5C-4493-9209-8B9F3DDFF0D8}"/>
            </c:ext>
          </c:extLst>
        </c:ser>
        <c:ser>
          <c:idx val="1"/>
          <c:order val="1"/>
          <c:tx>
            <c:strRef>
              <c:f>'Pivot Tables'!$Q$2:$Q$3</c:f>
              <c:strCache>
                <c:ptCount val="1"/>
                <c:pt idx="0">
                  <c:v>Male</c:v>
                </c:pt>
              </c:strCache>
            </c:strRef>
          </c:tx>
          <c:spPr>
            <a:solidFill>
              <a:schemeClr val="tx2">
                <a:lumMod val="75%"/>
                <a:lumOff val="25%"/>
              </a:schemeClr>
            </a:solidFill>
            <a:ln>
              <a:noFill/>
            </a:ln>
            <a:effectLst/>
          </c:spPr>
          <c:invertIfNegative val="0"/>
          <c:cat>
            <c:strRef>
              <c:f>'Pivot Tables'!$O$4:$O$14</c:f>
              <c:strCache>
                <c:ptCount val="10"/>
                <c:pt idx="0">
                  <c:v>15-19</c:v>
                </c:pt>
                <c:pt idx="1">
                  <c:v>20-24</c:v>
                </c:pt>
                <c:pt idx="2">
                  <c:v>25-29</c:v>
                </c:pt>
                <c:pt idx="3">
                  <c:v>30-34</c:v>
                </c:pt>
                <c:pt idx="4">
                  <c:v>35-39</c:v>
                </c:pt>
                <c:pt idx="5">
                  <c:v>40-44</c:v>
                </c:pt>
                <c:pt idx="6">
                  <c:v>45-49</c:v>
                </c:pt>
                <c:pt idx="7">
                  <c:v>50-54</c:v>
                </c:pt>
                <c:pt idx="8">
                  <c:v>55-59</c:v>
                </c:pt>
                <c:pt idx="9">
                  <c:v>60-65</c:v>
                </c:pt>
              </c:strCache>
            </c:strRef>
          </c:cat>
          <c:val>
            <c:numRef>
              <c:f>'Pivot Tables'!$Q$4:$Q$14</c:f>
              <c:numCache>
                <c:formatCode>General</c:formatCode>
                <c:ptCount val="10"/>
                <c:pt idx="0">
                  <c:v>18</c:v>
                </c:pt>
                <c:pt idx="1">
                  <c:v>59</c:v>
                </c:pt>
                <c:pt idx="2">
                  <c:v>45</c:v>
                </c:pt>
                <c:pt idx="3">
                  <c:v>56</c:v>
                </c:pt>
                <c:pt idx="4">
                  <c:v>42</c:v>
                </c:pt>
                <c:pt idx="5">
                  <c:v>53</c:v>
                </c:pt>
                <c:pt idx="6">
                  <c:v>48</c:v>
                </c:pt>
                <c:pt idx="7">
                  <c:v>62</c:v>
                </c:pt>
                <c:pt idx="8">
                  <c:v>47</c:v>
                </c:pt>
                <c:pt idx="9">
                  <c:v>60</c:v>
                </c:pt>
              </c:numCache>
            </c:numRef>
          </c:val>
          <c:extLst>
            <c:ext xmlns:c16="http://schemas.microsoft.com/office/drawing/2014/chart" uri="{C3380CC4-5D6E-409C-BE32-E72D297353CC}">
              <c16:uniqueId val="{00000000-B74E-487E-81F7-8B3B9F711604}"/>
            </c:ext>
          </c:extLst>
        </c:ser>
        <c:dLbls>
          <c:showLegendKey val="0"/>
          <c:showVal val="0"/>
          <c:showCatName val="0"/>
          <c:showSerName val="0"/>
          <c:showPercent val="0"/>
          <c:showBubbleSize val="0"/>
        </c:dLbls>
        <c:gapWidth val="150"/>
        <c:axId val="1223184735"/>
        <c:axId val="1223183775"/>
      </c:barChart>
      <c:catAx>
        <c:axId val="122318473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23183775"/>
        <c:crosses val="autoZero"/>
        <c:auto val="1"/>
        <c:lblAlgn val="ctr"/>
        <c:lblOffset val="100"/>
        <c:noMultiLvlLbl val="0"/>
      </c:catAx>
      <c:valAx>
        <c:axId val="1223183775"/>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2318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Tables!PivotTable9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Tables'!$U$2</c:f>
              <c:strCache>
                <c:ptCount val="1"/>
                <c:pt idx="0">
                  <c:v>Total</c:v>
                </c:pt>
              </c:strCache>
            </c:strRef>
          </c:tx>
          <c:spPr>
            <a:solidFill>
              <a:schemeClr val="accent1"/>
            </a:solidFill>
            <a:ln>
              <a:noFill/>
            </a:ln>
            <a:effectLst/>
          </c:spPr>
          <c:invertIfNegative val="0"/>
          <c:cat>
            <c:strRef>
              <c:f>'Pivot Tables'!$T$3:$T$8</c:f>
              <c:strCache>
                <c:ptCount val="5"/>
                <c:pt idx="0">
                  <c:v>$25</c:v>
                </c:pt>
                <c:pt idx="1">
                  <c:v>$30</c:v>
                </c:pt>
                <c:pt idx="2">
                  <c:v>$50</c:v>
                </c:pt>
                <c:pt idx="3">
                  <c:v>$300</c:v>
                </c:pt>
                <c:pt idx="4">
                  <c:v>$500</c:v>
                </c:pt>
              </c:strCache>
            </c:strRef>
          </c:cat>
          <c:val>
            <c:numRef>
              <c:f>'Pivot Tables'!$U$3:$U$8</c:f>
              <c:numCache>
                <c:formatCode>0</c:formatCode>
                <c:ptCount val="5"/>
                <c:pt idx="0">
                  <c:v>522</c:v>
                </c:pt>
                <c:pt idx="1">
                  <c:v>445</c:v>
                </c:pt>
                <c:pt idx="2">
                  <c:v>534</c:v>
                </c:pt>
                <c:pt idx="3">
                  <c:v>518</c:v>
                </c:pt>
                <c:pt idx="4">
                  <c:v>495</c:v>
                </c:pt>
              </c:numCache>
            </c:numRef>
          </c:val>
          <c:extLst>
            <c:ext xmlns:c16="http://schemas.microsoft.com/office/drawing/2014/chart" uri="{C3380CC4-5D6E-409C-BE32-E72D297353CC}">
              <c16:uniqueId val="{00000000-E6AE-45E9-87E8-1C1A4E559B90}"/>
            </c:ext>
          </c:extLst>
        </c:ser>
        <c:dLbls>
          <c:showLegendKey val="0"/>
          <c:showVal val="0"/>
          <c:showCatName val="0"/>
          <c:showSerName val="0"/>
          <c:showPercent val="0"/>
          <c:showBubbleSize val="0"/>
        </c:dLbls>
        <c:gapWidth val="219"/>
        <c:overlap val="-27"/>
        <c:axId val="254078287"/>
        <c:axId val="254079247"/>
      </c:barChart>
      <c:catAx>
        <c:axId val="25407828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54079247"/>
        <c:crosses val="autoZero"/>
        <c:auto val="1"/>
        <c:lblAlgn val="ctr"/>
        <c:lblOffset val="100"/>
        <c:noMultiLvlLbl val="0"/>
      </c:catAx>
      <c:valAx>
        <c:axId val="254079247"/>
        <c:scaling>
          <c:orientation val="minMax"/>
          <c:min val="0"/>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5407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5" Type="http://purl.oclc.org/ooxml/officeDocument/relationships/chart" Target="../charts/chart5.xml"/><Relationship Id="rId4"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1</xdr:col>
      <xdr:colOff>238125</xdr:colOff>
      <xdr:row>0</xdr:row>
      <xdr:rowOff>161925</xdr:rowOff>
    </xdr:from>
    <xdr:to>
      <xdr:col>16</xdr:col>
      <xdr:colOff>371475</xdr:colOff>
      <xdr:row>4</xdr:row>
      <xdr:rowOff>152400</xdr:rowOff>
    </xdr:to>
    <xdr:sp macro="" textlink="">
      <xdr:nvSpPr>
        <xdr:cNvPr id="2" name="Rectangle: Rounded Corners 1">
          <a:extLst>
            <a:ext uri="{FF2B5EF4-FFF2-40B4-BE49-F238E27FC236}">
              <a16:creationId xmlns:a16="http://schemas.microsoft.com/office/drawing/2014/main" id="{7554A30A-5852-0D0F-5148-07ABAD1458F4}"/>
            </a:ext>
          </a:extLst>
        </xdr:cNvPr>
        <xdr:cNvSpPr/>
      </xdr:nvSpPr>
      <xdr:spPr>
        <a:xfrm>
          <a:off x="1504950" y="161925"/>
          <a:ext cx="9277350" cy="752475"/>
        </a:xfrm>
        <a:prstGeom prst="roundRect">
          <a:avLst/>
        </a:prstGeom>
        <a:solidFill>
          <a:schemeClr val="bg1"/>
        </a:solidFill>
        <a:ln>
          <a:solidFill>
            <a:schemeClr val="bg1"/>
          </a:solid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333375</xdr:colOff>
      <xdr:row>1</xdr:row>
      <xdr:rowOff>38100</xdr:rowOff>
    </xdr:from>
    <xdr:to>
      <xdr:col>10</xdr:col>
      <xdr:colOff>238125</xdr:colOff>
      <xdr:row>4</xdr:row>
      <xdr:rowOff>66675</xdr:rowOff>
    </xdr:to>
    <xdr:sp macro="" textlink="">
      <xdr:nvSpPr>
        <xdr:cNvPr id="3" name="TextBox 2">
          <a:extLst>
            <a:ext uri="{FF2B5EF4-FFF2-40B4-BE49-F238E27FC236}">
              <a16:creationId xmlns:a16="http://schemas.microsoft.com/office/drawing/2014/main" id="{59EA4F68-D6BA-D166-F1DE-F5B030D7202A}"/>
            </a:ext>
          </a:extLst>
        </xdr:cNvPr>
        <xdr:cNvSpPr txBox="1"/>
      </xdr:nvSpPr>
      <xdr:spPr>
        <a:xfrm>
          <a:off x="1600200" y="228600"/>
          <a:ext cx="53911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Sales Dashboard 2023</a:t>
          </a:r>
        </a:p>
      </xdr:txBody>
    </xdr:sp>
    <xdr:clientData/>
  </xdr:twoCellAnchor>
  <xdr:twoCellAnchor>
    <xdr:from>
      <xdr:col>1</xdr:col>
      <xdr:colOff>219077</xdr:colOff>
      <xdr:row>5</xdr:row>
      <xdr:rowOff>95251</xdr:rowOff>
    </xdr:from>
    <xdr:to>
      <xdr:col>5</xdr:col>
      <xdr:colOff>409575</xdr:colOff>
      <xdr:row>11</xdr:row>
      <xdr:rowOff>66675</xdr:rowOff>
    </xdr:to>
    <xdr:sp macro="" textlink="">
      <xdr:nvSpPr>
        <xdr:cNvPr id="4" name="Rectangle: Rounded Corners 3">
          <a:extLst>
            <a:ext uri="{FF2B5EF4-FFF2-40B4-BE49-F238E27FC236}">
              <a16:creationId xmlns:a16="http://schemas.microsoft.com/office/drawing/2014/main" id="{45E7DC25-B5EE-487A-931E-E8253C56DC46}"/>
            </a:ext>
          </a:extLst>
        </xdr:cNvPr>
        <xdr:cNvSpPr/>
      </xdr:nvSpPr>
      <xdr:spPr>
        <a:xfrm>
          <a:off x="1485902" y="1047751"/>
          <a:ext cx="2628898" cy="1114424"/>
        </a:xfrm>
        <a:prstGeom prst="roundRect">
          <a:avLst/>
        </a:prstGeom>
        <a:solidFill>
          <a:schemeClr val="bg1"/>
        </a:solidFill>
        <a:ln>
          <a:solidFill>
            <a:schemeClr val="bg1"/>
          </a:solid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219075</xdr:colOff>
      <xdr:row>5</xdr:row>
      <xdr:rowOff>123825</xdr:rowOff>
    </xdr:from>
    <xdr:to>
      <xdr:col>4</xdr:col>
      <xdr:colOff>571500</xdr:colOff>
      <xdr:row>8</xdr:row>
      <xdr:rowOff>114300</xdr:rowOff>
    </xdr:to>
    <xdr:sp macro="" textlink="">
      <xdr:nvSpPr>
        <xdr:cNvPr id="5" name="TextBox 4">
          <a:extLst>
            <a:ext uri="{FF2B5EF4-FFF2-40B4-BE49-F238E27FC236}">
              <a16:creationId xmlns:a16="http://schemas.microsoft.com/office/drawing/2014/main" id="{2C034B51-691E-408B-9712-4CFAB40A9C20}"/>
            </a:ext>
          </a:extLst>
        </xdr:cNvPr>
        <xdr:cNvSpPr txBox="1"/>
      </xdr:nvSpPr>
      <xdr:spPr>
        <a:xfrm>
          <a:off x="1485900" y="1076325"/>
          <a:ext cx="21812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Total Revenue:</a:t>
          </a:r>
        </a:p>
      </xdr:txBody>
    </xdr:sp>
    <xdr:clientData/>
  </xdr:twoCellAnchor>
  <xdr:twoCellAnchor>
    <xdr:from>
      <xdr:col>1</xdr:col>
      <xdr:colOff>400050</xdr:colOff>
      <xdr:row>7</xdr:row>
      <xdr:rowOff>104776</xdr:rowOff>
    </xdr:from>
    <xdr:to>
      <xdr:col>5</xdr:col>
      <xdr:colOff>295275</xdr:colOff>
      <xdr:row>10</xdr:row>
      <xdr:rowOff>171450</xdr:rowOff>
    </xdr:to>
    <xdr:sp macro="" textlink="'Pivot Tables'!E8">
      <xdr:nvSpPr>
        <xdr:cNvPr id="6" name="TextBox 5">
          <a:extLst>
            <a:ext uri="{FF2B5EF4-FFF2-40B4-BE49-F238E27FC236}">
              <a16:creationId xmlns:a16="http://schemas.microsoft.com/office/drawing/2014/main" id="{68C8BEC1-8D9A-4C85-8BE0-B8C9E75D4F2C}"/>
            </a:ext>
          </a:extLst>
        </xdr:cNvPr>
        <xdr:cNvSpPr txBox="1"/>
      </xdr:nvSpPr>
      <xdr:spPr>
        <a:xfrm>
          <a:off x="1666875" y="1438276"/>
          <a:ext cx="2333625" cy="63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A76CF9-EBAB-4886-9EAB-85282143A531}" type="TxLink">
            <a:rPr lang="en-US" sz="3600" b="1" i="0" u="none" strike="noStrike">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pPr algn="ctr"/>
            <a:t> $456,000 </a:t>
          </a:fld>
          <a:endParaRPr lang="en-US" sz="36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66677</xdr:colOff>
      <xdr:row>5</xdr:row>
      <xdr:rowOff>114301</xdr:rowOff>
    </xdr:from>
    <xdr:to>
      <xdr:col>10</xdr:col>
      <xdr:colOff>257175</xdr:colOff>
      <xdr:row>11</xdr:row>
      <xdr:rowOff>95250</xdr:rowOff>
    </xdr:to>
    <xdr:sp macro="" textlink="">
      <xdr:nvSpPr>
        <xdr:cNvPr id="10" name="Rectangle: Rounded Corners 9">
          <a:extLst>
            <a:ext uri="{FF2B5EF4-FFF2-40B4-BE49-F238E27FC236}">
              <a16:creationId xmlns:a16="http://schemas.microsoft.com/office/drawing/2014/main" id="{38C66CB5-8BAE-45EC-B51B-581C412511DA}"/>
            </a:ext>
          </a:extLst>
        </xdr:cNvPr>
        <xdr:cNvSpPr/>
      </xdr:nvSpPr>
      <xdr:spPr>
        <a:xfrm>
          <a:off x="4381502" y="1066801"/>
          <a:ext cx="2628898" cy="1123949"/>
        </a:xfrm>
        <a:prstGeom prst="roundRect">
          <a:avLst/>
        </a:prstGeom>
        <a:solidFill>
          <a:schemeClr val="bg1"/>
        </a:solidFill>
        <a:ln>
          <a:solidFill>
            <a:schemeClr val="bg1"/>
          </a:solid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66675</xdr:colOff>
      <xdr:row>5</xdr:row>
      <xdr:rowOff>142875</xdr:rowOff>
    </xdr:from>
    <xdr:to>
      <xdr:col>10</xdr:col>
      <xdr:colOff>28575</xdr:colOff>
      <xdr:row>8</xdr:row>
      <xdr:rowOff>133350</xdr:rowOff>
    </xdr:to>
    <xdr:sp macro="" textlink="">
      <xdr:nvSpPr>
        <xdr:cNvPr id="11" name="TextBox 10">
          <a:extLst>
            <a:ext uri="{FF2B5EF4-FFF2-40B4-BE49-F238E27FC236}">
              <a16:creationId xmlns:a16="http://schemas.microsoft.com/office/drawing/2014/main" id="{5E5258F8-47BA-4E76-BDF2-DB33DCFA1569}"/>
            </a:ext>
          </a:extLst>
        </xdr:cNvPr>
        <xdr:cNvSpPr txBox="1"/>
      </xdr:nvSpPr>
      <xdr:spPr>
        <a:xfrm>
          <a:off x="4381500" y="1095375"/>
          <a:ext cx="24003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Total Units Sold:</a:t>
          </a:r>
        </a:p>
      </xdr:txBody>
    </xdr:sp>
    <xdr:clientData/>
  </xdr:twoCellAnchor>
  <xdr:twoCellAnchor>
    <xdr:from>
      <xdr:col>6</xdr:col>
      <xdr:colOff>466725</xdr:colOff>
      <xdr:row>7</xdr:row>
      <xdr:rowOff>142876</xdr:rowOff>
    </xdr:from>
    <xdr:to>
      <xdr:col>10</xdr:col>
      <xdr:colOff>9525</xdr:colOff>
      <xdr:row>11</xdr:row>
      <xdr:rowOff>19050</xdr:rowOff>
    </xdr:to>
    <xdr:sp macro="" textlink="'Pivot Tables'!F8">
      <xdr:nvSpPr>
        <xdr:cNvPr id="12" name="TextBox 11">
          <a:extLst>
            <a:ext uri="{FF2B5EF4-FFF2-40B4-BE49-F238E27FC236}">
              <a16:creationId xmlns:a16="http://schemas.microsoft.com/office/drawing/2014/main" id="{44DA2ACA-4F4B-4BD6-BB3C-DBA4480E7287}"/>
            </a:ext>
          </a:extLst>
        </xdr:cNvPr>
        <xdr:cNvSpPr txBox="1"/>
      </xdr:nvSpPr>
      <xdr:spPr>
        <a:xfrm>
          <a:off x="4781550" y="1476376"/>
          <a:ext cx="1981200" cy="63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6B3532-3228-4EDB-B7CB-F68345ACBEED}" type="TxLink">
            <a:rPr lang="en-US" sz="3600" b="1" i="0" u="none" strike="noStrike">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pPr algn="ctr"/>
            <a:t> 2,514 </a:t>
          </a:fld>
          <a:endParaRPr lang="en-US" sz="36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428627</xdr:colOff>
      <xdr:row>5</xdr:row>
      <xdr:rowOff>114301</xdr:rowOff>
    </xdr:from>
    <xdr:to>
      <xdr:col>16</xdr:col>
      <xdr:colOff>342900</xdr:colOff>
      <xdr:row>11</xdr:row>
      <xdr:rowOff>95250</xdr:rowOff>
    </xdr:to>
    <xdr:sp macro="" textlink="">
      <xdr:nvSpPr>
        <xdr:cNvPr id="15" name="Rectangle: Rounded Corners 14">
          <a:extLst>
            <a:ext uri="{FF2B5EF4-FFF2-40B4-BE49-F238E27FC236}">
              <a16:creationId xmlns:a16="http://schemas.microsoft.com/office/drawing/2014/main" id="{94B4FE24-C108-402A-A0DB-BC08383DD8D7}"/>
            </a:ext>
          </a:extLst>
        </xdr:cNvPr>
        <xdr:cNvSpPr/>
      </xdr:nvSpPr>
      <xdr:spPr>
        <a:xfrm>
          <a:off x="7181852" y="1066801"/>
          <a:ext cx="3571873" cy="1123949"/>
        </a:xfrm>
        <a:prstGeom prst="roundRect">
          <a:avLst/>
        </a:prstGeom>
        <a:solidFill>
          <a:schemeClr val="bg1"/>
        </a:solidFill>
        <a:ln>
          <a:solidFill>
            <a:schemeClr val="bg1"/>
          </a:solid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57149</xdr:colOff>
      <xdr:row>5</xdr:row>
      <xdr:rowOff>38100</xdr:rowOff>
    </xdr:from>
    <xdr:to>
      <xdr:col>17</xdr:col>
      <xdr:colOff>542924</xdr:colOff>
      <xdr:row>11</xdr:row>
      <xdr:rowOff>161924</xdr:rowOff>
    </xdr:to>
    <xdr:graphicFrame macro="">
      <xdr:nvGraphicFramePr>
        <xdr:cNvPr id="14" name="Chart 13">
          <a:extLst>
            <a:ext uri="{FF2B5EF4-FFF2-40B4-BE49-F238E27FC236}">
              <a16:creationId xmlns:a16="http://schemas.microsoft.com/office/drawing/2014/main" id="{D901DC28-0B84-4509-B3EB-BEA34CDEF08E}"/>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10</xdr:col>
      <xdr:colOff>428625</xdr:colOff>
      <xdr:row>5</xdr:row>
      <xdr:rowOff>142875</xdr:rowOff>
    </xdr:from>
    <xdr:to>
      <xdr:col>14</xdr:col>
      <xdr:colOff>390525</xdr:colOff>
      <xdr:row>8</xdr:row>
      <xdr:rowOff>133350</xdr:rowOff>
    </xdr:to>
    <xdr:sp macro="" textlink="">
      <xdr:nvSpPr>
        <xdr:cNvPr id="16" name="TextBox 15">
          <a:extLst>
            <a:ext uri="{FF2B5EF4-FFF2-40B4-BE49-F238E27FC236}">
              <a16:creationId xmlns:a16="http://schemas.microsoft.com/office/drawing/2014/main" id="{041ACF07-0B98-411C-B935-654D9944582D}"/>
            </a:ext>
          </a:extLst>
        </xdr:cNvPr>
        <xdr:cNvSpPr txBox="1"/>
      </xdr:nvSpPr>
      <xdr:spPr>
        <a:xfrm>
          <a:off x="7181850" y="1095375"/>
          <a:ext cx="24003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Total Customers:</a:t>
          </a:r>
        </a:p>
      </xdr:txBody>
    </xdr:sp>
    <xdr:clientData/>
  </xdr:twoCellAnchor>
  <xdr:twoCellAnchor>
    <xdr:from>
      <xdr:col>11</xdr:col>
      <xdr:colOff>219075</xdr:colOff>
      <xdr:row>7</xdr:row>
      <xdr:rowOff>142876</xdr:rowOff>
    </xdr:from>
    <xdr:to>
      <xdr:col>14</xdr:col>
      <xdr:colOff>371475</xdr:colOff>
      <xdr:row>11</xdr:row>
      <xdr:rowOff>19050</xdr:rowOff>
    </xdr:to>
    <xdr:sp macro="" textlink="'Pivot Tables'!J3">
      <xdr:nvSpPr>
        <xdr:cNvPr id="17" name="TextBox 16">
          <a:extLst>
            <a:ext uri="{FF2B5EF4-FFF2-40B4-BE49-F238E27FC236}">
              <a16:creationId xmlns:a16="http://schemas.microsoft.com/office/drawing/2014/main" id="{A7C2A46B-3BC9-47A6-B2B6-63E4EC200D29}"/>
            </a:ext>
          </a:extLst>
        </xdr:cNvPr>
        <xdr:cNvSpPr txBox="1"/>
      </xdr:nvSpPr>
      <xdr:spPr>
        <a:xfrm>
          <a:off x="7581900" y="1476376"/>
          <a:ext cx="1981200" cy="63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FA951AC-9D08-41FC-85FB-76E2371CF875}" type="TxLink">
            <a:rPr lang="en-US" sz="3600" b="1" i="0" u="none" strike="noStrike">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pPr marL="0" indent="0" algn="ctr"/>
            <a:t> 1,000 </a:t>
          </a:fld>
          <a:endParaRPr lang="en-US" sz="3600" b="1" i="0" u="none" strike="noStrike">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66675</xdr:colOff>
      <xdr:row>5</xdr:row>
      <xdr:rowOff>161925</xdr:rowOff>
    </xdr:from>
    <xdr:to>
      <xdr:col>0</xdr:col>
      <xdr:colOff>1400175</xdr:colOff>
      <xdr:row>12</xdr:row>
      <xdr:rowOff>180975</xdr:rowOff>
    </xdr:to>
    <mc:AlternateContent xmlns:mc="http://schemas.openxmlformats.org/markup-compatibility/2006" xmlns:a14="http://schemas.microsoft.com/office/drawing/2010/main">
      <mc:Choice Requires="a14">
        <xdr:graphicFrame macro="">
          <xdr:nvGraphicFramePr>
            <xdr:cNvPr id="18" name="Product Category 1">
              <a:extLst>
                <a:ext uri="{FF2B5EF4-FFF2-40B4-BE49-F238E27FC236}">
                  <a16:creationId xmlns:a16="http://schemas.microsoft.com/office/drawing/2014/main" id="{3469D464-AE08-49BF-A653-A2C8A49F1F5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66675" y="1114425"/>
              <a:ext cx="13335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57152</xdr:colOff>
      <xdr:row>12</xdr:row>
      <xdr:rowOff>57151</xdr:rowOff>
    </xdr:from>
    <xdr:to>
      <xdr:col>16</xdr:col>
      <xdr:colOff>428625</xdr:colOff>
      <xdr:row>28</xdr:row>
      <xdr:rowOff>47625</xdr:rowOff>
    </xdr:to>
    <xdr:sp macro="" textlink="">
      <xdr:nvSpPr>
        <xdr:cNvPr id="20" name="Rectangle: Rounded Corners 19">
          <a:extLst>
            <a:ext uri="{FF2B5EF4-FFF2-40B4-BE49-F238E27FC236}">
              <a16:creationId xmlns:a16="http://schemas.microsoft.com/office/drawing/2014/main" id="{003156C8-D9E5-43C0-AA42-422587782465}"/>
            </a:ext>
          </a:extLst>
        </xdr:cNvPr>
        <xdr:cNvSpPr/>
      </xdr:nvSpPr>
      <xdr:spPr>
        <a:xfrm>
          <a:off x="4371977" y="2343151"/>
          <a:ext cx="6467473" cy="3038474"/>
        </a:xfrm>
        <a:prstGeom prst="roundRect">
          <a:avLst/>
        </a:prstGeom>
        <a:solidFill>
          <a:schemeClr val="bg1"/>
        </a:solidFill>
        <a:ln>
          <a:solidFill>
            <a:schemeClr val="bg1"/>
          </a:solid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180975</xdr:colOff>
      <xdr:row>14</xdr:row>
      <xdr:rowOff>85725</xdr:rowOff>
    </xdr:from>
    <xdr:to>
      <xdr:col>16</xdr:col>
      <xdr:colOff>296422</xdr:colOff>
      <xdr:row>26</xdr:row>
      <xdr:rowOff>161925</xdr:rowOff>
    </xdr:to>
    <xdr:graphicFrame macro="">
      <xdr:nvGraphicFramePr>
        <xdr:cNvPr id="19" name="Chart 18">
          <a:extLst>
            <a:ext uri="{FF2B5EF4-FFF2-40B4-BE49-F238E27FC236}">
              <a16:creationId xmlns:a16="http://schemas.microsoft.com/office/drawing/2014/main" id="{15A6DD97-FF45-4EC8-B2C4-CCD3C57390AD}"/>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6</xdr:col>
      <xdr:colOff>352424</xdr:colOff>
      <xdr:row>12</xdr:row>
      <xdr:rowOff>47625</xdr:rowOff>
    </xdr:from>
    <xdr:to>
      <xdr:col>11</xdr:col>
      <xdr:colOff>38099</xdr:colOff>
      <xdr:row>15</xdr:row>
      <xdr:rowOff>38100</xdr:rowOff>
    </xdr:to>
    <xdr:sp macro="" textlink="">
      <xdr:nvSpPr>
        <xdr:cNvPr id="21" name="TextBox 20">
          <a:extLst>
            <a:ext uri="{FF2B5EF4-FFF2-40B4-BE49-F238E27FC236}">
              <a16:creationId xmlns:a16="http://schemas.microsoft.com/office/drawing/2014/main" id="{E3C4F16F-916C-4EA8-85EC-EE441D75933E}"/>
            </a:ext>
          </a:extLst>
        </xdr:cNvPr>
        <xdr:cNvSpPr txBox="1"/>
      </xdr:nvSpPr>
      <xdr:spPr>
        <a:xfrm>
          <a:off x="4667249" y="2333625"/>
          <a:ext cx="27336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2023</a:t>
          </a:r>
          <a:r>
            <a:rPr lang="en-US" sz="2400" b="1" baseline="0%">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 Sale Trends</a:t>
          </a:r>
          <a:r>
            <a:rPr lang="en-US" sz="24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1</xdr:col>
      <xdr:colOff>228601</xdr:colOff>
      <xdr:row>12</xdr:row>
      <xdr:rowOff>57150</xdr:rowOff>
    </xdr:from>
    <xdr:to>
      <xdr:col>5</xdr:col>
      <xdr:colOff>466724</xdr:colOff>
      <xdr:row>21</xdr:row>
      <xdr:rowOff>114299</xdr:rowOff>
    </xdr:to>
    <xdr:sp macro="" textlink="">
      <xdr:nvSpPr>
        <xdr:cNvPr id="23" name="Rectangle: Rounded Corners 22">
          <a:extLst>
            <a:ext uri="{FF2B5EF4-FFF2-40B4-BE49-F238E27FC236}">
              <a16:creationId xmlns:a16="http://schemas.microsoft.com/office/drawing/2014/main" id="{E86E3C5C-DAA0-4548-8B54-5187BE1FF2F3}"/>
            </a:ext>
          </a:extLst>
        </xdr:cNvPr>
        <xdr:cNvSpPr/>
      </xdr:nvSpPr>
      <xdr:spPr>
        <a:xfrm>
          <a:off x="1685926" y="2343150"/>
          <a:ext cx="2676523" cy="1771649"/>
        </a:xfrm>
        <a:prstGeom prst="roundRect">
          <a:avLst/>
        </a:prstGeom>
        <a:solidFill>
          <a:schemeClr val="bg1"/>
        </a:solidFill>
        <a:ln>
          <a:solidFill>
            <a:schemeClr val="bg1"/>
          </a:solid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1409700</xdr:colOff>
      <xdr:row>11</xdr:row>
      <xdr:rowOff>66674</xdr:rowOff>
    </xdr:from>
    <xdr:to>
      <xdr:col>6</xdr:col>
      <xdr:colOff>190500</xdr:colOff>
      <xdr:row>22</xdr:row>
      <xdr:rowOff>95250</xdr:rowOff>
    </xdr:to>
    <xdr:graphicFrame macro="">
      <xdr:nvGraphicFramePr>
        <xdr:cNvPr id="22" name="Chart 21">
          <a:extLst>
            <a:ext uri="{FF2B5EF4-FFF2-40B4-BE49-F238E27FC236}">
              <a16:creationId xmlns:a16="http://schemas.microsoft.com/office/drawing/2014/main" id="{039FBDD3-1A2E-4263-8CC4-9A0F45ABF33E}"/>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17</xdr:col>
      <xdr:colOff>9526</xdr:colOff>
      <xdr:row>5</xdr:row>
      <xdr:rowOff>133350</xdr:rowOff>
    </xdr:from>
    <xdr:to>
      <xdr:col>24</xdr:col>
      <xdr:colOff>533399</xdr:colOff>
      <xdr:row>22</xdr:row>
      <xdr:rowOff>95249</xdr:rowOff>
    </xdr:to>
    <xdr:sp macro="" textlink="">
      <xdr:nvSpPr>
        <xdr:cNvPr id="25" name="Rectangle: Rounded Corners 24">
          <a:extLst>
            <a:ext uri="{FF2B5EF4-FFF2-40B4-BE49-F238E27FC236}">
              <a16:creationId xmlns:a16="http://schemas.microsoft.com/office/drawing/2014/main" id="{F0F809D9-E883-4B77-9BF7-72E5893A9100}"/>
            </a:ext>
          </a:extLst>
        </xdr:cNvPr>
        <xdr:cNvSpPr/>
      </xdr:nvSpPr>
      <xdr:spPr>
        <a:xfrm>
          <a:off x="11220451" y="1085850"/>
          <a:ext cx="4791073" cy="3200399"/>
        </a:xfrm>
        <a:prstGeom prst="roundRect">
          <a:avLst/>
        </a:prstGeom>
        <a:solidFill>
          <a:schemeClr val="bg1"/>
        </a:solidFill>
        <a:ln>
          <a:solidFill>
            <a:schemeClr val="bg1"/>
          </a:solid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190500</xdr:colOff>
      <xdr:row>7</xdr:row>
      <xdr:rowOff>133350</xdr:rowOff>
    </xdr:from>
    <xdr:to>
      <xdr:col>24</xdr:col>
      <xdr:colOff>552450</xdr:colOff>
      <xdr:row>22</xdr:row>
      <xdr:rowOff>19050</xdr:rowOff>
    </xdr:to>
    <xdr:graphicFrame macro="">
      <xdr:nvGraphicFramePr>
        <xdr:cNvPr id="24" name="Chart 23">
          <a:extLst>
            <a:ext uri="{FF2B5EF4-FFF2-40B4-BE49-F238E27FC236}">
              <a16:creationId xmlns:a16="http://schemas.microsoft.com/office/drawing/2014/main" id="{D8BACBC0-EBEF-42EA-9A2D-3EA64FDF827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17</xdr:col>
      <xdr:colOff>180974</xdr:colOff>
      <xdr:row>5</xdr:row>
      <xdr:rowOff>95250</xdr:rowOff>
    </xdr:from>
    <xdr:to>
      <xdr:col>23</xdr:col>
      <xdr:colOff>400050</xdr:colOff>
      <xdr:row>8</xdr:row>
      <xdr:rowOff>85725</xdr:rowOff>
    </xdr:to>
    <xdr:sp macro="" textlink="">
      <xdr:nvSpPr>
        <xdr:cNvPr id="26" name="TextBox 25">
          <a:extLst>
            <a:ext uri="{FF2B5EF4-FFF2-40B4-BE49-F238E27FC236}">
              <a16:creationId xmlns:a16="http://schemas.microsoft.com/office/drawing/2014/main" id="{76644E1C-4B80-49F5-BEB2-6DB2BC601055}"/>
            </a:ext>
          </a:extLst>
        </xdr:cNvPr>
        <xdr:cNvSpPr txBox="1"/>
      </xdr:nvSpPr>
      <xdr:spPr>
        <a:xfrm>
          <a:off x="11391899" y="1047750"/>
          <a:ext cx="3876676"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Customer Ages and Gender:</a:t>
          </a:r>
        </a:p>
      </xdr:txBody>
    </xdr:sp>
    <xdr:clientData/>
  </xdr:twoCellAnchor>
  <xdr:twoCellAnchor editAs="oneCell">
    <xdr:from>
      <xdr:col>0</xdr:col>
      <xdr:colOff>66674</xdr:colOff>
      <xdr:row>13</xdr:row>
      <xdr:rowOff>95250</xdr:rowOff>
    </xdr:from>
    <xdr:to>
      <xdr:col>0</xdr:col>
      <xdr:colOff>1381125</xdr:colOff>
      <xdr:row>19</xdr:row>
      <xdr:rowOff>19050</xdr:rowOff>
    </xdr:to>
    <mc:AlternateContent xmlns:mc="http://schemas.openxmlformats.org/markup-compatibility/2006" xmlns:a14="http://schemas.microsoft.com/office/drawing/2010/main">
      <mc:Choice Requires="a14">
        <xdr:graphicFrame macro="">
          <xdr:nvGraphicFramePr>
            <xdr:cNvPr id="27" name="Gender 1">
              <a:extLst>
                <a:ext uri="{FF2B5EF4-FFF2-40B4-BE49-F238E27FC236}">
                  <a16:creationId xmlns:a16="http://schemas.microsoft.com/office/drawing/2014/main" id="{CE06B2D9-EC52-4A20-BF62-B7DAD8F9FD3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66674" y="2571750"/>
              <a:ext cx="1314451"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438150</xdr:colOff>
      <xdr:row>3</xdr:row>
      <xdr:rowOff>66675</xdr:rowOff>
    </xdr:from>
    <xdr:to>
      <xdr:col>16</xdr:col>
      <xdr:colOff>361950</xdr:colOff>
      <xdr:row>4</xdr:row>
      <xdr:rowOff>161925</xdr:rowOff>
    </xdr:to>
    <xdr:sp macro="" textlink="">
      <xdr:nvSpPr>
        <xdr:cNvPr id="28" name="TextBox 27">
          <a:extLst>
            <a:ext uri="{FF2B5EF4-FFF2-40B4-BE49-F238E27FC236}">
              <a16:creationId xmlns:a16="http://schemas.microsoft.com/office/drawing/2014/main" id="{262596E8-D15A-B446-1A8B-5A374D93C89C}"/>
            </a:ext>
          </a:extLst>
        </xdr:cNvPr>
        <xdr:cNvSpPr txBox="1"/>
      </xdr:nvSpPr>
      <xdr:spPr>
        <a:xfrm>
          <a:off x="9210675" y="638175"/>
          <a:ext cx="1752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Created by: Blake Simpson</a:t>
          </a:r>
        </a:p>
      </xdr:txBody>
    </xdr:sp>
    <xdr:clientData/>
  </xdr:twoCellAnchor>
  <xdr:twoCellAnchor>
    <xdr:from>
      <xdr:col>1</xdr:col>
      <xdr:colOff>228601</xdr:colOff>
      <xdr:row>22</xdr:row>
      <xdr:rowOff>114300</xdr:rowOff>
    </xdr:from>
    <xdr:to>
      <xdr:col>5</xdr:col>
      <xdr:colOff>485775</xdr:colOff>
      <xdr:row>35</xdr:row>
      <xdr:rowOff>76200</xdr:rowOff>
    </xdr:to>
    <xdr:sp macro="" textlink="">
      <xdr:nvSpPr>
        <xdr:cNvPr id="7" name="Rectangle: Rounded Corners 6">
          <a:extLst>
            <a:ext uri="{FF2B5EF4-FFF2-40B4-BE49-F238E27FC236}">
              <a16:creationId xmlns:a16="http://schemas.microsoft.com/office/drawing/2014/main" id="{8ED8B29E-A27C-47E6-9AE6-E951C913CE0A}"/>
            </a:ext>
          </a:extLst>
        </xdr:cNvPr>
        <xdr:cNvSpPr/>
      </xdr:nvSpPr>
      <xdr:spPr>
        <a:xfrm>
          <a:off x="1685926" y="4305300"/>
          <a:ext cx="2695574" cy="2438400"/>
        </a:xfrm>
        <a:prstGeom prst="roundRect">
          <a:avLst/>
        </a:prstGeom>
        <a:solidFill>
          <a:schemeClr val="bg1"/>
        </a:solidFill>
        <a:ln>
          <a:solidFill>
            <a:schemeClr val="bg1"/>
          </a:solid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285750</xdr:colOff>
      <xdr:row>25</xdr:row>
      <xdr:rowOff>28575</xdr:rowOff>
    </xdr:from>
    <xdr:to>
      <xdr:col>5</xdr:col>
      <xdr:colOff>438150</xdr:colOff>
      <xdr:row>34</xdr:row>
      <xdr:rowOff>142874</xdr:rowOff>
    </xdr:to>
    <xdr:graphicFrame macro="">
      <xdr:nvGraphicFramePr>
        <xdr:cNvPr id="8" name="Chart 7">
          <a:extLst>
            <a:ext uri="{FF2B5EF4-FFF2-40B4-BE49-F238E27FC236}">
              <a16:creationId xmlns:a16="http://schemas.microsoft.com/office/drawing/2014/main" id="{FACF896F-D259-40A9-9015-A6E2D20E6F1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1</xdr:col>
      <xdr:colOff>295274</xdr:colOff>
      <xdr:row>22</xdr:row>
      <xdr:rowOff>142875</xdr:rowOff>
    </xdr:from>
    <xdr:to>
      <xdr:col>5</xdr:col>
      <xdr:colOff>533399</xdr:colOff>
      <xdr:row>25</xdr:row>
      <xdr:rowOff>133350</xdr:rowOff>
    </xdr:to>
    <xdr:sp macro="" textlink="">
      <xdr:nvSpPr>
        <xdr:cNvPr id="9" name="TextBox 8">
          <a:extLst>
            <a:ext uri="{FF2B5EF4-FFF2-40B4-BE49-F238E27FC236}">
              <a16:creationId xmlns:a16="http://schemas.microsoft.com/office/drawing/2014/main" id="{1D6E8F55-B9C3-45F2-BB23-62E138F87F27}"/>
            </a:ext>
          </a:extLst>
        </xdr:cNvPr>
        <xdr:cNvSpPr txBox="1"/>
      </xdr:nvSpPr>
      <xdr:spPr>
        <a:xfrm>
          <a:off x="1752599" y="4333875"/>
          <a:ext cx="26765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90%"/>
                  <a:lumOff val="10%"/>
                </a:schemeClr>
              </a:solidFill>
              <a:latin typeface="Calibri" panose="020F0502020204030204" pitchFamily="34" charset="0"/>
              <a:ea typeface="Calibri" panose="020F0502020204030204" pitchFamily="34" charset="0"/>
              <a:cs typeface="Calibri" panose="020F0502020204030204" pitchFamily="34" charset="0"/>
            </a:rPr>
            <a:t>Units Sold by Price:</a:t>
          </a:r>
        </a:p>
      </xdr:txBody>
    </xdr:sp>
    <xdr:clientData/>
  </xdr:twoCellAnchor>
</xdr:wsDr>
</file>

<file path=xl/drawings/drawing2.xml><?xml version="1.0" encoding="utf-8"?>
<xdr:wsDr xmlns:xdr="http://purl.oclc.org/ooxml/drawingml/spreadsheetDrawing" xmlns:a="http://purl.oclc.org/ooxml/drawingml/main">
  <xdr:twoCellAnchor editAs="oneCell">
    <xdr:from>
      <xdr:col>0</xdr:col>
      <xdr:colOff>76200</xdr:colOff>
      <xdr:row>7</xdr:row>
      <xdr:rowOff>114300</xdr:rowOff>
    </xdr:from>
    <xdr:to>
      <xdr:col>1</xdr:col>
      <xdr:colOff>1009650</xdr:colOff>
      <xdr:row>21</xdr:row>
      <xdr:rowOff>114300</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BAC90990-8DF5-AF88-0968-CCABC7A50FF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76200" y="1447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104775</xdr:colOff>
      <xdr:row>9</xdr:row>
      <xdr:rowOff>9525</xdr:rowOff>
    </xdr:from>
    <xdr:to>
      <xdr:col>4</xdr:col>
      <xdr:colOff>428625</xdr:colOff>
      <xdr:row>23</xdr:row>
      <xdr:rowOff>9525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C2C5151F-B8AA-D5C1-79A5-66BCEB62A1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2076450" y="17240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Blake simpson" refreshedDateIso="2026-03-17T21:43:58.90000011306255975" createdVersion="8" refreshedVersion="8" minRefreshableVersion="3" recordCount="1000" xr:uid="{8ABC8485-97A5-4047-B8FA-11BBBC159E34}">
  <cacheSource type="worksheet">
    <worksheetSource name="Table1"/>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1">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fieldGroup base="4">
        <rangePr autoStart="0" autoEnd="0" startNum="15" endNum="65" groupInterval="5"/>
        <groupItems count="12">
          <s v="&lt;15"/>
          <s v="15-19"/>
          <s v="20-24"/>
          <s v="25-29"/>
          <s v="30-34"/>
          <s v="35-39"/>
          <s v="40-44"/>
          <s v="45-49"/>
          <s v="50-54"/>
          <s v="55-59"/>
          <s v="60-65"/>
          <s v="&gt;65"/>
        </groupItems>
      </fieldGroup>
    </cacheField>
    <cacheField name="Product Category" numFmtId="0">
      <sharedItems count="3">
        <s v="Beauty"/>
        <s v="Clothing"/>
        <s v="Electronics"/>
      </sharedItems>
    </cacheField>
    <cacheField name="Quantity" numFmtId="1">
      <sharedItems containsSemiMixedTypes="0" containsString="0" containsNumber="1" containsInteger="1" minValue="1" maxValue="4"/>
    </cacheField>
    <cacheField name="Price per Unit" numFmtId="166">
      <sharedItems containsSemiMixedTypes="0" containsString="0" containsNumber="1" containsInteger="1" minValue="25" maxValue="500" count="5">
        <n v="50"/>
        <n v="500"/>
        <n v="30"/>
        <n v="25"/>
        <n v="300"/>
      </sharedItems>
    </cacheField>
    <cacheField name="Total Amount" numFmtId="166">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Date)" numFmtId="0" databaseField="0">
      <fieldGroup base="1">
        <rangePr groupBy="quarters" startDate="2023-01-01T00:00:00" endDate="2024-01-02T00:00:00"/>
        <groupItems count="6">
          <s v="&lt;1/1/2023"/>
          <s v="Qtr1"/>
          <s v="Qtr2"/>
          <s v="Qtr3"/>
          <s v="Qtr4"/>
          <s v="&gt;1/2/2024"/>
        </groupItems>
      </fieldGroup>
    </cacheField>
    <cacheField name="Years (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2099422778"/>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000">
  <r>
    <n v="1"/>
    <x v="0"/>
    <x v="0"/>
    <x v="0"/>
    <x v="0"/>
    <x v="0"/>
    <n v="3"/>
    <x v="0"/>
    <x v="0"/>
  </r>
  <r>
    <n v="2"/>
    <x v="1"/>
    <x v="1"/>
    <x v="1"/>
    <x v="1"/>
    <x v="1"/>
    <n v="2"/>
    <x v="1"/>
    <x v="1"/>
  </r>
  <r>
    <n v="3"/>
    <x v="2"/>
    <x v="2"/>
    <x v="0"/>
    <x v="2"/>
    <x v="2"/>
    <n v="1"/>
    <x v="2"/>
    <x v="2"/>
  </r>
  <r>
    <n v="4"/>
    <x v="3"/>
    <x v="3"/>
    <x v="0"/>
    <x v="3"/>
    <x v="1"/>
    <n v="1"/>
    <x v="1"/>
    <x v="3"/>
  </r>
  <r>
    <n v="5"/>
    <x v="4"/>
    <x v="4"/>
    <x v="0"/>
    <x v="4"/>
    <x v="0"/>
    <n v="2"/>
    <x v="0"/>
    <x v="4"/>
  </r>
  <r>
    <n v="6"/>
    <x v="5"/>
    <x v="5"/>
    <x v="1"/>
    <x v="5"/>
    <x v="0"/>
    <n v="1"/>
    <x v="2"/>
    <x v="2"/>
  </r>
  <r>
    <n v="7"/>
    <x v="6"/>
    <x v="6"/>
    <x v="0"/>
    <x v="6"/>
    <x v="1"/>
    <n v="2"/>
    <x v="3"/>
    <x v="5"/>
  </r>
  <r>
    <n v="8"/>
    <x v="7"/>
    <x v="7"/>
    <x v="0"/>
    <x v="4"/>
    <x v="2"/>
    <n v="4"/>
    <x v="3"/>
    <x v="4"/>
  </r>
  <r>
    <n v="9"/>
    <x v="8"/>
    <x v="8"/>
    <x v="0"/>
    <x v="7"/>
    <x v="2"/>
    <n v="2"/>
    <x v="4"/>
    <x v="6"/>
  </r>
  <r>
    <n v="10"/>
    <x v="9"/>
    <x v="9"/>
    <x v="1"/>
    <x v="8"/>
    <x v="1"/>
    <n v="4"/>
    <x v="0"/>
    <x v="7"/>
  </r>
  <r>
    <n v="11"/>
    <x v="10"/>
    <x v="10"/>
    <x v="0"/>
    <x v="9"/>
    <x v="1"/>
    <n v="2"/>
    <x v="0"/>
    <x v="4"/>
  </r>
  <r>
    <n v="12"/>
    <x v="11"/>
    <x v="11"/>
    <x v="0"/>
    <x v="10"/>
    <x v="0"/>
    <n v="3"/>
    <x v="3"/>
    <x v="8"/>
  </r>
  <r>
    <n v="13"/>
    <x v="12"/>
    <x v="12"/>
    <x v="0"/>
    <x v="11"/>
    <x v="2"/>
    <n v="3"/>
    <x v="1"/>
    <x v="9"/>
  </r>
  <r>
    <n v="14"/>
    <x v="13"/>
    <x v="13"/>
    <x v="0"/>
    <x v="12"/>
    <x v="1"/>
    <n v="4"/>
    <x v="2"/>
    <x v="10"/>
  </r>
  <r>
    <n v="15"/>
    <x v="14"/>
    <x v="14"/>
    <x v="1"/>
    <x v="13"/>
    <x v="2"/>
    <n v="4"/>
    <x v="1"/>
    <x v="11"/>
  </r>
  <r>
    <n v="16"/>
    <x v="15"/>
    <x v="15"/>
    <x v="0"/>
    <x v="14"/>
    <x v="1"/>
    <n v="3"/>
    <x v="1"/>
    <x v="9"/>
  </r>
  <r>
    <n v="17"/>
    <x v="16"/>
    <x v="16"/>
    <x v="1"/>
    <x v="15"/>
    <x v="1"/>
    <n v="4"/>
    <x v="3"/>
    <x v="4"/>
  </r>
  <r>
    <n v="18"/>
    <x v="17"/>
    <x v="17"/>
    <x v="1"/>
    <x v="16"/>
    <x v="2"/>
    <n v="2"/>
    <x v="3"/>
    <x v="5"/>
  </r>
  <r>
    <n v="19"/>
    <x v="18"/>
    <x v="18"/>
    <x v="1"/>
    <x v="17"/>
    <x v="1"/>
    <n v="2"/>
    <x v="3"/>
    <x v="5"/>
  </r>
  <r>
    <n v="20"/>
    <x v="19"/>
    <x v="19"/>
    <x v="0"/>
    <x v="11"/>
    <x v="1"/>
    <n v="3"/>
    <x v="4"/>
    <x v="12"/>
  </r>
  <r>
    <n v="21"/>
    <x v="20"/>
    <x v="20"/>
    <x v="1"/>
    <x v="2"/>
    <x v="0"/>
    <n v="1"/>
    <x v="1"/>
    <x v="3"/>
  </r>
  <r>
    <n v="22"/>
    <x v="21"/>
    <x v="21"/>
    <x v="0"/>
    <x v="18"/>
    <x v="1"/>
    <n v="2"/>
    <x v="0"/>
    <x v="4"/>
  </r>
  <r>
    <n v="23"/>
    <x v="22"/>
    <x v="22"/>
    <x v="1"/>
    <x v="10"/>
    <x v="1"/>
    <n v="4"/>
    <x v="2"/>
    <x v="10"/>
  </r>
  <r>
    <n v="24"/>
    <x v="23"/>
    <x v="23"/>
    <x v="1"/>
    <x v="19"/>
    <x v="1"/>
    <n v="1"/>
    <x v="4"/>
    <x v="13"/>
  </r>
  <r>
    <n v="25"/>
    <x v="24"/>
    <x v="24"/>
    <x v="1"/>
    <x v="12"/>
    <x v="0"/>
    <n v="1"/>
    <x v="0"/>
    <x v="5"/>
  </r>
  <r>
    <n v="26"/>
    <x v="9"/>
    <x v="25"/>
    <x v="1"/>
    <x v="20"/>
    <x v="2"/>
    <n v="2"/>
    <x v="1"/>
    <x v="1"/>
  </r>
  <r>
    <n v="27"/>
    <x v="25"/>
    <x v="26"/>
    <x v="1"/>
    <x v="21"/>
    <x v="0"/>
    <n v="2"/>
    <x v="3"/>
    <x v="5"/>
  </r>
  <r>
    <n v="28"/>
    <x v="26"/>
    <x v="27"/>
    <x v="1"/>
    <x v="22"/>
    <x v="0"/>
    <n v="1"/>
    <x v="1"/>
    <x v="3"/>
  </r>
  <r>
    <n v="29"/>
    <x v="27"/>
    <x v="28"/>
    <x v="1"/>
    <x v="13"/>
    <x v="2"/>
    <n v="1"/>
    <x v="2"/>
    <x v="2"/>
  </r>
  <r>
    <n v="30"/>
    <x v="28"/>
    <x v="29"/>
    <x v="1"/>
    <x v="23"/>
    <x v="0"/>
    <n v="3"/>
    <x v="4"/>
    <x v="12"/>
  </r>
  <r>
    <n v="31"/>
    <x v="29"/>
    <x v="30"/>
    <x v="0"/>
    <x v="24"/>
    <x v="2"/>
    <n v="4"/>
    <x v="4"/>
    <x v="14"/>
  </r>
  <r>
    <n v="32"/>
    <x v="30"/>
    <x v="31"/>
    <x v="0"/>
    <x v="4"/>
    <x v="0"/>
    <n v="3"/>
    <x v="2"/>
    <x v="15"/>
  </r>
  <r>
    <n v="33"/>
    <x v="31"/>
    <x v="32"/>
    <x v="1"/>
    <x v="2"/>
    <x v="2"/>
    <n v="2"/>
    <x v="0"/>
    <x v="4"/>
  </r>
  <r>
    <n v="34"/>
    <x v="32"/>
    <x v="33"/>
    <x v="1"/>
    <x v="25"/>
    <x v="1"/>
    <n v="3"/>
    <x v="0"/>
    <x v="0"/>
  </r>
  <r>
    <n v="35"/>
    <x v="12"/>
    <x v="34"/>
    <x v="1"/>
    <x v="26"/>
    <x v="0"/>
    <n v="3"/>
    <x v="4"/>
    <x v="12"/>
  </r>
  <r>
    <n v="36"/>
    <x v="33"/>
    <x v="35"/>
    <x v="0"/>
    <x v="8"/>
    <x v="0"/>
    <n v="3"/>
    <x v="4"/>
    <x v="12"/>
  </r>
  <r>
    <n v="37"/>
    <x v="29"/>
    <x v="36"/>
    <x v="1"/>
    <x v="18"/>
    <x v="0"/>
    <n v="3"/>
    <x v="3"/>
    <x v="8"/>
  </r>
  <r>
    <n v="38"/>
    <x v="34"/>
    <x v="37"/>
    <x v="0"/>
    <x v="21"/>
    <x v="0"/>
    <n v="4"/>
    <x v="0"/>
    <x v="7"/>
  </r>
  <r>
    <n v="39"/>
    <x v="35"/>
    <x v="38"/>
    <x v="0"/>
    <x v="9"/>
    <x v="1"/>
    <n v="4"/>
    <x v="2"/>
    <x v="10"/>
  </r>
  <r>
    <n v="40"/>
    <x v="36"/>
    <x v="39"/>
    <x v="0"/>
    <x v="5"/>
    <x v="0"/>
    <n v="1"/>
    <x v="0"/>
    <x v="5"/>
  </r>
  <r>
    <n v="41"/>
    <x v="7"/>
    <x v="40"/>
    <x v="0"/>
    <x v="0"/>
    <x v="1"/>
    <n v="2"/>
    <x v="3"/>
    <x v="5"/>
  </r>
  <r>
    <n v="42"/>
    <x v="15"/>
    <x v="41"/>
    <x v="0"/>
    <x v="11"/>
    <x v="1"/>
    <n v="3"/>
    <x v="4"/>
    <x v="12"/>
  </r>
  <r>
    <n v="43"/>
    <x v="37"/>
    <x v="42"/>
    <x v="1"/>
    <x v="27"/>
    <x v="1"/>
    <n v="1"/>
    <x v="4"/>
    <x v="13"/>
  </r>
  <r>
    <n v="44"/>
    <x v="38"/>
    <x v="43"/>
    <x v="1"/>
    <x v="11"/>
    <x v="1"/>
    <n v="1"/>
    <x v="3"/>
    <x v="16"/>
  </r>
  <r>
    <n v="45"/>
    <x v="39"/>
    <x v="44"/>
    <x v="1"/>
    <x v="28"/>
    <x v="2"/>
    <n v="1"/>
    <x v="2"/>
    <x v="2"/>
  </r>
  <r>
    <n v="46"/>
    <x v="40"/>
    <x v="45"/>
    <x v="1"/>
    <x v="29"/>
    <x v="2"/>
    <n v="4"/>
    <x v="4"/>
    <x v="14"/>
  </r>
  <r>
    <n v="47"/>
    <x v="41"/>
    <x v="46"/>
    <x v="1"/>
    <x v="30"/>
    <x v="0"/>
    <n v="3"/>
    <x v="1"/>
    <x v="9"/>
  </r>
  <r>
    <n v="48"/>
    <x v="42"/>
    <x v="47"/>
    <x v="0"/>
    <x v="31"/>
    <x v="2"/>
    <n v="3"/>
    <x v="4"/>
    <x v="12"/>
  </r>
  <r>
    <n v="49"/>
    <x v="43"/>
    <x v="48"/>
    <x v="1"/>
    <x v="31"/>
    <x v="2"/>
    <n v="2"/>
    <x v="1"/>
    <x v="1"/>
  </r>
  <r>
    <n v="50"/>
    <x v="44"/>
    <x v="49"/>
    <x v="1"/>
    <x v="15"/>
    <x v="0"/>
    <n v="3"/>
    <x v="3"/>
    <x v="8"/>
  </r>
  <r>
    <n v="51"/>
    <x v="45"/>
    <x v="50"/>
    <x v="0"/>
    <x v="15"/>
    <x v="0"/>
    <n v="3"/>
    <x v="3"/>
    <x v="8"/>
  </r>
  <r>
    <n v="52"/>
    <x v="46"/>
    <x v="51"/>
    <x v="1"/>
    <x v="32"/>
    <x v="0"/>
    <n v="1"/>
    <x v="4"/>
    <x v="13"/>
  </r>
  <r>
    <n v="53"/>
    <x v="47"/>
    <x v="52"/>
    <x v="0"/>
    <x v="0"/>
    <x v="2"/>
    <n v="2"/>
    <x v="0"/>
    <x v="4"/>
  </r>
  <r>
    <n v="54"/>
    <x v="48"/>
    <x v="53"/>
    <x v="1"/>
    <x v="21"/>
    <x v="2"/>
    <n v="3"/>
    <x v="1"/>
    <x v="9"/>
  </r>
  <r>
    <n v="55"/>
    <x v="49"/>
    <x v="54"/>
    <x v="0"/>
    <x v="33"/>
    <x v="0"/>
    <n v="4"/>
    <x v="2"/>
    <x v="10"/>
  </r>
  <r>
    <n v="56"/>
    <x v="50"/>
    <x v="55"/>
    <x v="1"/>
    <x v="1"/>
    <x v="1"/>
    <n v="3"/>
    <x v="4"/>
    <x v="12"/>
  </r>
  <r>
    <n v="57"/>
    <x v="51"/>
    <x v="56"/>
    <x v="1"/>
    <x v="7"/>
    <x v="0"/>
    <n v="1"/>
    <x v="2"/>
    <x v="2"/>
  </r>
  <r>
    <n v="58"/>
    <x v="52"/>
    <x v="57"/>
    <x v="0"/>
    <x v="18"/>
    <x v="1"/>
    <n v="4"/>
    <x v="4"/>
    <x v="14"/>
  </r>
  <r>
    <n v="59"/>
    <x v="53"/>
    <x v="58"/>
    <x v="0"/>
    <x v="17"/>
    <x v="1"/>
    <n v="1"/>
    <x v="0"/>
    <x v="5"/>
  </r>
  <r>
    <n v="60"/>
    <x v="54"/>
    <x v="59"/>
    <x v="0"/>
    <x v="4"/>
    <x v="0"/>
    <n v="3"/>
    <x v="0"/>
    <x v="0"/>
  </r>
  <r>
    <n v="61"/>
    <x v="55"/>
    <x v="60"/>
    <x v="0"/>
    <x v="34"/>
    <x v="0"/>
    <n v="4"/>
    <x v="0"/>
    <x v="7"/>
  </r>
  <r>
    <n v="62"/>
    <x v="56"/>
    <x v="61"/>
    <x v="0"/>
    <x v="18"/>
    <x v="0"/>
    <n v="2"/>
    <x v="0"/>
    <x v="4"/>
  </r>
  <r>
    <n v="63"/>
    <x v="57"/>
    <x v="62"/>
    <x v="0"/>
    <x v="35"/>
    <x v="2"/>
    <n v="2"/>
    <x v="3"/>
    <x v="5"/>
  </r>
  <r>
    <n v="64"/>
    <x v="58"/>
    <x v="63"/>
    <x v="0"/>
    <x v="19"/>
    <x v="1"/>
    <n v="4"/>
    <x v="3"/>
    <x v="4"/>
  </r>
  <r>
    <n v="65"/>
    <x v="59"/>
    <x v="64"/>
    <x v="0"/>
    <x v="25"/>
    <x v="2"/>
    <n v="4"/>
    <x v="1"/>
    <x v="11"/>
  </r>
  <r>
    <n v="66"/>
    <x v="60"/>
    <x v="65"/>
    <x v="1"/>
    <x v="5"/>
    <x v="2"/>
    <n v="1"/>
    <x v="2"/>
    <x v="2"/>
  </r>
  <r>
    <n v="67"/>
    <x v="61"/>
    <x v="66"/>
    <x v="1"/>
    <x v="27"/>
    <x v="0"/>
    <n v="4"/>
    <x v="4"/>
    <x v="14"/>
  </r>
  <r>
    <n v="68"/>
    <x v="48"/>
    <x v="67"/>
    <x v="0"/>
    <x v="36"/>
    <x v="2"/>
    <n v="1"/>
    <x v="4"/>
    <x v="13"/>
  </r>
  <r>
    <n v="69"/>
    <x v="17"/>
    <x v="68"/>
    <x v="1"/>
    <x v="37"/>
    <x v="0"/>
    <n v="3"/>
    <x v="3"/>
    <x v="8"/>
  </r>
  <r>
    <n v="70"/>
    <x v="62"/>
    <x v="69"/>
    <x v="1"/>
    <x v="22"/>
    <x v="1"/>
    <n v="1"/>
    <x v="4"/>
    <x v="13"/>
  </r>
  <r>
    <n v="71"/>
    <x v="37"/>
    <x v="70"/>
    <x v="1"/>
    <x v="25"/>
    <x v="0"/>
    <n v="4"/>
    <x v="3"/>
    <x v="4"/>
  </r>
  <r>
    <n v="72"/>
    <x v="29"/>
    <x v="71"/>
    <x v="1"/>
    <x v="29"/>
    <x v="2"/>
    <n v="4"/>
    <x v="1"/>
    <x v="11"/>
  </r>
  <r>
    <n v="73"/>
    <x v="63"/>
    <x v="72"/>
    <x v="0"/>
    <x v="38"/>
    <x v="2"/>
    <n v="3"/>
    <x v="2"/>
    <x v="15"/>
  </r>
  <r>
    <n v="74"/>
    <x v="64"/>
    <x v="73"/>
    <x v="1"/>
    <x v="18"/>
    <x v="0"/>
    <n v="4"/>
    <x v="1"/>
    <x v="11"/>
  </r>
  <r>
    <n v="75"/>
    <x v="65"/>
    <x v="74"/>
    <x v="0"/>
    <x v="39"/>
    <x v="0"/>
    <n v="4"/>
    <x v="0"/>
    <x v="7"/>
  </r>
  <r>
    <n v="76"/>
    <x v="66"/>
    <x v="75"/>
    <x v="1"/>
    <x v="11"/>
    <x v="2"/>
    <n v="2"/>
    <x v="0"/>
    <x v="4"/>
  </r>
  <r>
    <n v="77"/>
    <x v="67"/>
    <x v="76"/>
    <x v="1"/>
    <x v="16"/>
    <x v="1"/>
    <n v="2"/>
    <x v="0"/>
    <x v="4"/>
  </r>
  <r>
    <n v="78"/>
    <x v="68"/>
    <x v="77"/>
    <x v="1"/>
    <x v="16"/>
    <x v="1"/>
    <n v="3"/>
    <x v="1"/>
    <x v="9"/>
  </r>
  <r>
    <n v="79"/>
    <x v="69"/>
    <x v="78"/>
    <x v="0"/>
    <x v="0"/>
    <x v="0"/>
    <n v="1"/>
    <x v="4"/>
    <x v="13"/>
  </r>
  <r>
    <n v="80"/>
    <x v="70"/>
    <x v="79"/>
    <x v="1"/>
    <x v="12"/>
    <x v="1"/>
    <n v="2"/>
    <x v="2"/>
    <x v="17"/>
  </r>
  <r>
    <n v="81"/>
    <x v="71"/>
    <x v="80"/>
    <x v="0"/>
    <x v="30"/>
    <x v="2"/>
    <n v="1"/>
    <x v="0"/>
    <x v="5"/>
  </r>
  <r>
    <n v="82"/>
    <x v="24"/>
    <x v="81"/>
    <x v="1"/>
    <x v="40"/>
    <x v="0"/>
    <n v="4"/>
    <x v="0"/>
    <x v="7"/>
  </r>
  <r>
    <n v="83"/>
    <x v="72"/>
    <x v="82"/>
    <x v="0"/>
    <x v="31"/>
    <x v="2"/>
    <n v="2"/>
    <x v="0"/>
    <x v="4"/>
  </r>
  <r>
    <n v="84"/>
    <x v="73"/>
    <x v="83"/>
    <x v="1"/>
    <x v="21"/>
    <x v="2"/>
    <n v="3"/>
    <x v="2"/>
    <x v="15"/>
  </r>
  <r>
    <n v="85"/>
    <x v="74"/>
    <x v="84"/>
    <x v="0"/>
    <x v="33"/>
    <x v="1"/>
    <n v="3"/>
    <x v="0"/>
    <x v="0"/>
  </r>
  <r>
    <n v="86"/>
    <x v="75"/>
    <x v="85"/>
    <x v="0"/>
    <x v="14"/>
    <x v="0"/>
    <n v="3"/>
    <x v="2"/>
    <x v="15"/>
  </r>
  <r>
    <n v="87"/>
    <x v="64"/>
    <x v="86"/>
    <x v="1"/>
    <x v="20"/>
    <x v="0"/>
    <n v="2"/>
    <x v="0"/>
    <x v="4"/>
  </r>
  <r>
    <n v="88"/>
    <x v="76"/>
    <x v="87"/>
    <x v="0"/>
    <x v="37"/>
    <x v="1"/>
    <n v="1"/>
    <x v="1"/>
    <x v="3"/>
  </r>
  <r>
    <n v="89"/>
    <x v="77"/>
    <x v="88"/>
    <x v="1"/>
    <x v="28"/>
    <x v="2"/>
    <n v="4"/>
    <x v="1"/>
    <x v="11"/>
  </r>
  <r>
    <n v="90"/>
    <x v="4"/>
    <x v="89"/>
    <x v="1"/>
    <x v="25"/>
    <x v="2"/>
    <n v="1"/>
    <x v="2"/>
    <x v="2"/>
  </r>
  <r>
    <n v="91"/>
    <x v="66"/>
    <x v="90"/>
    <x v="1"/>
    <x v="28"/>
    <x v="2"/>
    <n v="1"/>
    <x v="1"/>
    <x v="3"/>
  </r>
  <r>
    <n v="92"/>
    <x v="78"/>
    <x v="91"/>
    <x v="1"/>
    <x v="25"/>
    <x v="2"/>
    <n v="4"/>
    <x v="2"/>
    <x v="10"/>
  </r>
  <r>
    <n v="93"/>
    <x v="37"/>
    <x v="92"/>
    <x v="1"/>
    <x v="10"/>
    <x v="0"/>
    <n v="4"/>
    <x v="1"/>
    <x v="11"/>
  </r>
  <r>
    <n v="94"/>
    <x v="79"/>
    <x v="93"/>
    <x v="1"/>
    <x v="16"/>
    <x v="0"/>
    <n v="2"/>
    <x v="1"/>
    <x v="1"/>
  </r>
  <r>
    <n v="95"/>
    <x v="0"/>
    <x v="94"/>
    <x v="1"/>
    <x v="40"/>
    <x v="1"/>
    <n v="2"/>
    <x v="2"/>
    <x v="17"/>
  </r>
  <r>
    <n v="96"/>
    <x v="80"/>
    <x v="95"/>
    <x v="1"/>
    <x v="24"/>
    <x v="1"/>
    <n v="2"/>
    <x v="4"/>
    <x v="6"/>
  </r>
  <r>
    <n v="97"/>
    <x v="81"/>
    <x v="96"/>
    <x v="1"/>
    <x v="25"/>
    <x v="0"/>
    <n v="2"/>
    <x v="1"/>
    <x v="1"/>
  </r>
  <r>
    <n v="98"/>
    <x v="26"/>
    <x v="97"/>
    <x v="1"/>
    <x v="28"/>
    <x v="0"/>
    <n v="2"/>
    <x v="0"/>
    <x v="4"/>
  </r>
  <r>
    <n v="99"/>
    <x v="82"/>
    <x v="98"/>
    <x v="1"/>
    <x v="2"/>
    <x v="2"/>
    <n v="4"/>
    <x v="4"/>
    <x v="14"/>
  </r>
  <r>
    <n v="100"/>
    <x v="83"/>
    <x v="99"/>
    <x v="0"/>
    <x v="41"/>
    <x v="2"/>
    <n v="1"/>
    <x v="2"/>
    <x v="2"/>
  </r>
  <r>
    <n v="101"/>
    <x v="84"/>
    <x v="100"/>
    <x v="0"/>
    <x v="40"/>
    <x v="1"/>
    <n v="2"/>
    <x v="4"/>
    <x v="6"/>
  </r>
  <r>
    <n v="102"/>
    <x v="85"/>
    <x v="101"/>
    <x v="1"/>
    <x v="16"/>
    <x v="0"/>
    <n v="2"/>
    <x v="3"/>
    <x v="5"/>
  </r>
  <r>
    <n v="103"/>
    <x v="13"/>
    <x v="102"/>
    <x v="1"/>
    <x v="42"/>
    <x v="1"/>
    <n v="1"/>
    <x v="3"/>
    <x v="16"/>
  </r>
  <r>
    <n v="104"/>
    <x v="86"/>
    <x v="103"/>
    <x v="1"/>
    <x v="0"/>
    <x v="0"/>
    <n v="2"/>
    <x v="1"/>
    <x v="1"/>
  </r>
  <r>
    <n v="105"/>
    <x v="87"/>
    <x v="104"/>
    <x v="1"/>
    <x v="11"/>
    <x v="2"/>
    <n v="1"/>
    <x v="1"/>
    <x v="3"/>
  </r>
  <r>
    <n v="106"/>
    <x v="88"/>
    <x v="105"/>
    <x v="1"/>
    <x v="6"/>
    <x v="1"/>
    <n v="1"/>
    <x v="0"/>
    <x v="5"/>
  </r>
  <r>
    <n v="107"/>
    <x v="89"/>
    <x v="106"/>
    <x v="1"/>
    <x v="34"/>
    <x v="1"/>
    <n v="4"/>
    <x v="4"/>
    <x v="14"/>
  </r>
  <r>
    <n v="108"/>
    <x v="90"/>
    <x v="107"/>
    <x v="1"/>
    <x v="15"/>
    <x v="0"/>
    <n v="3"/>
    <x v="3"/>
    <x v="8"/>
  </r>
  <r>
    <n v="109"/>
    <x v="91"/>
    <x v="108"/>
    <x v="1"/>
    <x v="0"/>
    <x v="2"/>
    <n v="4"/>
    <x v="1"/>
    <x v="11"/>
  </r>
  <r>
    <n v="110"/>
    <x v="86"/>
    <x v="109"/>
    <x v="0"/>
    <x v="15"/>
    <x v="1"/>
    <n v="3"/>
    <x v="4"/>
    <x v="12"/>
  </r>
  <r>
    <n v="111"/>
    <x v="90"/>
    <x v="110"/>
    <x v="1"/>
    <x v="0"/>
    <x v="2"/>
    <n v="3"/>
    <x v="1"/>
    <x v="9"/>
  </r>
  <r>
    <n v="112"/>
    <x v="92"/>
    <x v="111"/>
    <x v="0"/>
    <x v="3"/>
    <x v="1"/>
    <n v="3"/>
    <x v="1"/>
    <x v="9"/>
  </r>
  <r>
    <n v="113"/>
    <x v="93"/>
    <x v="112"/>
    <x v="1"/>
    <x v="41"/>
    <x v="2"/>
    <n v="2"/>
    <x v="3"/>
    <x v="5"/>
  </r>
  <r>
    <n v="114"/>
    <x v="94"/>
    <x v="113"/>
    <x v="1"/>
    <x v="11"/>
    <x v="0"/>
    <n v="4"/>
    <x v="3"/>
    <x v="4"/>
  </r>
  <r>
    <n v="115"/>
    <x v="95"/>
    <x v="114"/>
    <x v="0"/>
    <x v="25"/>
    <x v="1"/>
    <n v="3"/>
    <x v="1"/>
    <x v="9"/>
  </r>
  <r>
    <n v="116"/>
    <x v="96"/>
    <x v="115"/>
    <x v="1"/>
    <x v="9"/>
    <x v="1"/>
    <n v="1"/>
    <x v="2"/>
    <x v="2"/>
  </r>
  <r>
    <n v="117"/>
    <x v="97"/>
    <x v="116"/>
    <x v="0"/>
    <x v="14"/>
    <x v="2"/>
    <n v="2"/>
    <x v="1"/>
    <x v="1"/>
  </r>
  <r>
    <n v="118"/>
    <x v="42"/>
    <x v="117"/>
    <x v="1"/>
    <x v="4"/>
    <x v="2"/>
    <n v="4"/>
    <x v="1"/>
    <x v="11"/>
  </r>
  <r>
    <n v="119"/>
    <x v="6"/>
    <x v="118"/>
    <x v="1"/>
    <x v="43"/>
    <x v="1"/>
    <n v="3"/>
    <x v="0"/>
    <x v="0"/>
  </r>
  <r>
    <n v="120"/>
    <x v="98"/>
    <x v="119"/>
    <x v="0"/>
    <x v="43"/>
    <x v="0"/>
    <n v="1"/>
    <x v="0"/>
    <x v="5"/>
  </r>
  <r>
    <n v="121"/>
    <x v="21"/>
    <x v="120"/>
    <x v="1"/>
    <x v="20"/>
    <x v="2"/>
    <n v="4"/>
    <x v="0"/>
    <x v="7"/>
  </r>
  <r>
    <n v="122"/>
    <x v="99"/>
    <x v="121"/>
    <x v="0"/>
    <x v="12"/>
    <x v="2"/>
    <n v="4"/>
    <x v="2"/>
    <x v="10"/>
  </r>
  <r>
    <n v="123"/>
    <x v="100"/>
    <x v="122"/>
    <x v="1"/>
    <x v="30"/>
    <x v="2"/>
    <n v="2"/>
    <x v="2"/>
    <x v="17"/>
  </r>
  <r>
    <n v="124"/>
    <x v="101"/>
    <x v="123"/>
    <x v="0"/>
    <x v="44"/>
    <x v="1"/>
    <n v="4"/>
    <x v="1"/>
    <x v="11"/>
  </r>
  <r>
    <n v="125"/>
    <x v="102"/>
    <x v="124"/>
    <x v="0"/>
    <x v="27"/>
    <x v="1"/>
    <n v="2"/>
    <x v="0"/>
    <x v="4"/>
  </r>
  <r>
    <n v="126"/>
    <x v="103"/>
    <x v="125"/>
    <x v="1"/>
    <x v="20"/>
    <x v="1"/>
    <n v="3"/>
    <x v="2"/>
    <x v="15"/>
  </r>
  <r>
    <n v="127"/>
    <x v="104"/>
    <x v="126"/>
    <x v="1"/>
    <x v="44"/>
    <x v="1"/>
    <n v="2"/>
    <x v="3"/>
    <x v="5"/>
  </r>
  <r>
    <n v="128"/>
    <x v="53"/>
    <x v="127"/>
    <x v="0"/>
    <x v="36"/>
    <x v="0"/>
    <n v="1"/>
    <x v="1"/>
    <x v="3"/>
  </r>
  <r>
    <n v="129"/>
    <x v="26"/>
    <x v="128"/>
    <x v="1"/>
    <x v="34"/>
    <x v="0"/>
    <n v="2"/>
    <x v="4"/>
    <x v="6"/>
  </r>
  <r>
    <n v="130"/>
    <x v="105"/>
    <x v="129"/>
    <x v="1"/>
    <x v="35"/>
    <x v="1"/>
    <n v="1"/>
    <x v="1"/>
    <x v="3"/>
  </r>
  <r>
    <n v="131"/>
    <x v="106"/>
    <x v="130"/>
    <x v="1"/>
    <x v="34"/>
    <x v="0"/>
    <n v="2"/>
    <x v="4"/>
    <x v="6"/>
  </r>
  <r>
    <n v="132"/>
    <x v="107"/>
    <x v="131"/>
    <x v="0"/>
    <x v="13"/>
    <x v="2"/>
    <n v="4"/>
    <x v="0"/>
    <x v="7"/>
  </r>
  <r>
    <n v="133"/>
    <x v="108"/>
    <x v="132"/>
    <x v="0"/>
    <x v="29"/>
    <x v="2"/>
    <n v="3"/>
    <x v="4"/>
    <x v="12"/>
  </r>
  <r>
    <n v="134"/>
    <x v="109"/>
    <x v="133"/>
    <x v="0"/>
    <x v="19"/>
    <x v="2"/>
    <n v="1"/>
    <x v="0"/>
    <x v="5"/>
  </r>
  <r>
    <n v="135"/>
    <x v="110"/>
    <x v="134"/>
    <x v="0"/>
    <x v="29"/>
    <x v="1"/>
    <n v="2"/>
    <x v="3"/>
    <x v="5"/>
  </r>
  <r>
    <n v="136"/>
    <x v="111"/>
    <x v="135"/>
    <x v="0"/>
    <x v="24"/>
    <x v="2"/>
    <n v="2"/>
    <x v="4"/>
    <x v="6"/>
  </r>
  <r>
    <n v="137"/>
    <x v="51"/>
    <x v="136"/>
    <x v="0"/>
    <x v="6"/>
    <x v="0"/>
    <n v="2"/>
    <x v="1"/>
    <x v="1"/>
  </r>
  <r>
    <n v="138"/>
    <x v="31"/>
    <x v="137"/>
    <x v="0"/>
    <x v="19"/>
    <x v="1"/>
    <n v="4"/>
    <x v="0"/>
    <x v="7"/>
  </r>
  <r>
    <n v="139"/>
    <x v="112"/>
    <x v="138"/>
    <x v="0"/>
    <x v="32"/>
    <x v="0"/>
    <n v="4"/>
    <x v="1"/>
    <x v="11"/>
  </r>
  <r>
    <n v="140"/>
    <x v="12"/>
    <x v="139"/>
    <x v="0"/>
    <x v="21"/>
    <x v="2"/>
    <n v="1"/>
    <x v="2"/>
    <x v="2"/>
  </r>
  <r>
    <n v="141"/>
    <x v="113"/>
    <x v="140"/>
    <x v="1"/>
    <x v="11"/>
    <x v="2"/>
    <n v="1"/>
    <x v="0"/>
    <x v="5"/>
  </r>
  <r>
    <n v="142"/>
    <x v="114"/>
    <x v="141"/>
    <x v="0"/>
    <x v="10"/>
    <x v="2"/>
    <n v="4"/>
    <x v="4"/>
    <x v="14"/>
  </r>
  <r>
    <n v="143"/>
    <x v="115"/>
    <x v="142"/>
    <x v="1"/>
    <x v="5"/>
    <x v="1"/>
    <n v="1"/>
    <x v="0"/>
    <x v="5"/>
  </r>
  <r>
    <n v="144"/>
    <x v="116"/>
    <x v="143"/>
    <x v="1"/>
    <x v="42"/>
    <x v="0"/>
    <n v="3"/>
    <x v="1"/>
    <x v="9"/>
  </r>
  <r>
    <n v="145"/>
    <x v="113"/>
    <x v="144"/>
    <x v="1"/>
    <x v="23"/>
    <x v="1"/>
    <n v="3"/>
    <x v="3"/>
    <x v="8"/>
  </r>
  <r>
    <n v="146"/>
    <x v="117"/>
    <x v="145"/>
    <x v="0"/>
    <x v="21"/>
    <x v="1"/>
    <n v="4"/>
    <x v="0"/>
    <x v="7"/>
  </r>
  <r>
    <n v="147"/>
    <x v="118"/>
    <x v="146"/>
    <x v="0"/>
    <x v="9"/>
    <x v="2"/>
    <n v="1"/>
    <x v="4"/>
    <x v="13"/>
  </r>
  <r>
    <n v="148"/>
    <x v="119"/>
    <x v="147"/>
    <x v="0"/>
    <x v="18"/>
    <x v="1"/>
    <n v="2"/>
    <x v="2"/>
    <x v="17"/>
  </r>
  <r>
    <n v="149"/>
    <x v="120"/>
    <x v="148"/>
    <x v="0"/>
    <x v="11"/>
    <x v="1"/>
    <n v="3"/>
    <x v="3"/>
    <x v="8"/>
  </r>
  <r>
    <n v="150"/>
    <x v="121"/>
    <x v="149"/>
    <x v="1"/>
    <x v="26"/>
    <x v="2"/>
    <n v="4"/>
    <x v="2"/>
    <x v="10"/>
  </r>
  <r>
    <n v="151"/>
    <x v="112"/>
    <x v="150"/>
    <x v="0"/>
    <x v="38"/>
    <x v="1"/>
    <n v="1"/>
    <x v="0"/>
    <x v="5"/>
  </r>
  <r>
    <n v="152"/>
    <x v="122"/>
    <x v="151"/>
    <x v="0"/>
    <x v="22"/>
    <x v="2"/>
    <n v="4"/>
    <x v="1"/>
    <x v="11"/>
  </r>
  <r>
    <n v="153"/>
    <x v="72"/>
    <x v="152"/>
    <x v="0"/>
    <x v="7"/>
    <x v="2"/>
    <n v="2"/>
    <x v="1"/>
    <x v="1"/>
  </r>
  <r>
    <n v="154"/>
    <x v="45"/>
    <x v="153"/>
    <x v="0"/>
    <x v="25"/>
    <x v="2"/>
    <n v="3"/>
    <x v="4"/>
    <x v="12"/>
  </r>
  <r>
    <n v="155"/>
    <x v="71"/>
    <x v="154"/>
    <x v="0"/>
    <x v="33"/>
    <x v="2"/>
    <n v="4"/>
    <x v="1"/>
    <x v="11"/>
  </r>
  <r>
    <n v="156"/>
    <x v="123"/>
    <x v="155"/>
    <x v="1"/>
    <x v="22"/>
    <x v="1"/>
    <n v="4"/>
    <x v="3"/>
    <x v="4"/>
  </r>
  <r>
    <n v="157"/>
    <x v="33"/>
    <x v="156"/>
    <x v="0"/>
    <x v="17"/>
    <x v="2"/>
    <n v="4"/>
    <x v="1"/>
    <x v="11"/>
  </r>
  <r>
    <n v="158"/>
    <x v="1"/>
    <x v="157"/>
    <x v="1"/>
    <x v="24"/>
    <x v="2"/>
    <n v="2"/>
    <x v="4"/>
    <x v="6"/>
  </r>
  <r>
    <n v="159"/>
    <x v="50"/>
    <x v="158"/>
    <x v="0"/>
    <x v="1"/>
    <x v="1"/>
    <n v="4"/>
    <x v="0"/>
    <x v="7"/>
  </r>
  <r>
    <n v="160"/>
    <x v="124"/>
    <x v="159"/>
    <x v="1"/>
    <x v="22"/>
    <x v="1"/>
    <n v="2"/>
    <x v="0"/>
    <x v="4"/>
  </r>
  <r>
    <n v="161"/>
    <x v="125"/>
    <x v="160"/>
    <x v="0"/>
    <x v="12"/>
    <x v="0"/>
    <n v="2"/>
    <x v="1"/>
    <x v="1"/>
  </r>
  <r>
    <n v="162"/>
    <x v="63"/>
    <x v="161"/>
    <x v="0"/>
    <x v="23"/>
    <x v="1"/>
    <n v="2"/>
    <x v="2"/>
    <x v="17"/>
  </r>
  <r>
    <n v="163"/>
    <x v="126"/>
    <x v="162"/>
    <x v="1"/>
    <x v="12"/>
    <x v="1"/>
    <n v="3"/>
    <x v="0"/>
    <x v="0"/>
  </r>
  <r>
    <n v="164"/>
    <x v="100"/>
    <x v="163"/>
    <x v="1"/>
    <x v="16"/>
    <x v="0"/>
    <n v="3"/>
    <x v="1"/>
    <x v="9"/>
  </r>
  <r>
    <n v="165"/>
    <x v="127"/>
    <x v="164"/>
    <x v="1"/>
    <x v="43"/>
    <x v="1"/>
    <n v="4"/>
    <x v="4"/>
    <x v="14"/>
  </r>
  <r>
    <n v="166"/>
    <x v="128"/>
    <x v="165"/>
    <x v="0"/>
    <x v="0"/>
    <x v="1"/>
    <n v="4"/>
    <x v="1"/>
    <x v="11"/>
  </r>
  <r>
    <n v="167"/>
    <x v="129"/>
    <x v="166"/>
    <x v="1"/>
    <x v="22"/>
    <x v="1"/>
    <n v="3"/>
    <x v="0"/>
    <x v="0"/>
  </r>
  <r>
    <n v="168"/>
    <x v="130"/>
    <x v="167"/>
    <x v="0"/>
    <x v="45"/>
    <x v="1"/>
    <n v="1"/>
    <x v="4"/>
    <x v="13"/>
  </r>
  <r>
    <n v="169"/>
    <x v="131"/>
    <x v="168"/>
    <x v="0"/>
    <x v="18"/>
    <x v="0"/>
    <n v="3"/>
    <x v="1"/>
    <x v="9"/>
  </r>
  <r>
    <n v="170"/>
    <x v="132"/>
    <x v="169"/>
    <x v="1"/>
    <x v="36"/>
    <x v="1"/>
    <n v="2"/>
    <x v="3"/>
    <x v="5"/>
  </r>
  <r>
    <n v="171"/>
    <x v="0"/>
    <x v="170"/>
    <x v="1"/>
    <x v="8"/>
    <x v="1"/>
    <n v="3"/>
    <x v="4"/>
    <x v="12"/>
  </r>
  <r>
    <n v="172"/>
    <x v="129"/>
    <x v="171"/>
    <x v="0"/>
    <x v="40"/>
    <x v="0"/>
    <n v="2"/>
    <x v="3"/>
    <x v="5"/>
  </r>
  <r>
    <n v="173"/>
    <x v="75"/>
    <x v="172"/>
    <x v="0"/>
    <x v="12"/>
    <x v="2"/>
    <n v="4"/>
    <x v="2"/>
    <x v="10"/>
  </r>
  <r>
    <n v="174"/>
    <x v="22"/>
    <x v="173"/>
    <x v="1"/>
    <x v="23"/>
    <x v="0"/>
    <n v="1"/>
    <x v="4"/>
    <x v="13"/>
  </r>
  <r>
    <n v="175"/>
    <x v="111"/>
    <x v="174"/>
    <x v="1"/>
    <x v="33"/>
    <x v="2"/>
    <n v="4"/>
    <x v="3"/>
    <x v="4"/>
  </r>
  <r>
    <n v="176"/>
    <x v="133"/>
    <x v="175"/>
    <x v="1"/>
    <x v="22"/>
    <x v="0"/>
    <n v="2"/>
    <x v="0"/>
    <x v="4"/>
  </r>
  <r>
    <n v="177"/>
    <x v="134"/>
    <x v="176"/>
    <x v="0"/>
    <x v="5"/>
    <x v="0"/>
    <n v="2"/>
    <x v="0"/>
    <x v="4"/>
  </r>
  <r>
    <n v="178"/>
    <x v="135"/>
    <x v="177"/>
    <x v="0"/>
    <x v="30"/>
    <x v="1"/>
    <n v="2"/>
    <x v="2"/>
    <x v="17"/>
  </r>
  <r>
    <n v="179"/>
    <x v="136"/>
    <x v="178"/>
    <x v="0"/>
    <x v="33"/>
    <x v="2"/>
    <n v="1"/>
    <x v="4"/>
    <x v="13"/>
  </r>
  <r>
    <n v="180"/>
    <x v="137"/>
    <x v="179"/>
    <x v="0"/>
    <x v="41"/>
    <x v="1"/>
    <n v="3"/>
    <x v="4"/>
    <x v="12"/>
  </r>
  <r>
    <n v="181"/>
    <x v="138"/>
    <x v="180"/>
    <x v="0"/>
    <x v="14"/>
    <x v="2"/>
    <n v="4"/>
    <x v="4"/>
    <x v="14"/>
  </r>
  <r>
    <n v="182"/>
    <x v="139"/>
    <x v="181"/>
    <x v="0"/>
    <x v="17"/>
    <x v="0"/>
    <n v="4"/>
    <x v="2"/>
    <x v="10"/>
  </r>
  <r>
    <n v="183"/>
    <x v="140"/>
    <x v="182"/>
    <x v="1"/>
    <x v="22"/>
    <x v="0"/>
    <n v="3"/>
    <x v="4"/>
    <x v="12"/>
  </r>
  <r>
    <n v="184"/>
    <x v="141"/>
    <x v="183"/>
    <x v="0"/>
    <x v="33"/>
    <x v="2"/>
    <n v="4"/>
    <x v="0"/>
    <x v="7"/>
  </r>
  <r>
    <n v="185"/>
    <x v="1"/>
    <x v="184"/>
    <x v="0"/>
    <x v="46"/>
    <x v="1"/>
    <n v="1"/>
    <x v="3"/>
    <x v="16"/>
  </r>
  <r>
    <n v="186"/>
    <x v="53"/>
    <x v="185"/>
    <x v="0"/>
    <x v="29"/>
    <x v="1"/>
    <n v="4"/>
    <x v="0"/>
    <x v="7"/>
  </r>
  <r>
    <n v="187"/>
    <x v="142"/>
    <x v="186"/>
    <x v="1"/>
    <x v="12"/>
    <x v="1"/>
    <n v="2"/>
    <x v="0"/>
    <x v="4"/>
  </r>
  <r>
    <n v="188"/>
    <x v="143"/>
    <x v="187"/>
    <x v="0"/>
    <x v="30"/>
    <x v="1"/>
    <n v="3"/>
    <x v="3"/>
    <x v="8"/>
  </r>
  <r>
    <n v="189"/>
    <x v="144"/>
    <x v="188"/>
    <x v="0"/>
    <x v="7"/>
    <x v="0"/>
    <n v="1"/>
    <x v="0"/>
    <x v="5"/>
  </r>
  <r>
    <n v="190"/>
    <x v="145"/>
    <x v="189"/>
    <x v="1"/>
    <x v="43"/>
    <x v="0"/>
    <n v="3"/>
    <x v="2"/>
    <x v="15"/>
  </r>
  <r>
    <n v="191"/>
    <x v="91"/>
    <x v="190"/>
    <x v="0"/>
    <x v="12"/>
    <x v="0"/>
    <n v="1"/>
    <x v="3"/>
    <x v="16"/>
  </r>
  <r>
    <n v="192"/>
    <x v="48"/>
    <x v="191"/>
    <x v="0"/>
    <x v="17"/>
    <x v="0"/>
    <n v="2"/>
    <x v="0"/>
    <x v="4"/>
  </r>
  <r>
    <n v="193"/>
    <x v="146"/>
    <x v="192"/>
    <x v="0"/>
    <x v="10"/>
    <x v="0"/>
    <n v="3"/>
    <x v="1"/>
    <x v="9"/>
  </r>
  <r>
    <n v="194"/>
    <x v="147"/>
    <x v="193"/>
    <x v="0"/>
    <x v="28"/>
    <x v="1"/>
    <n v="4"/>
    <x v="0"/>
    <x v="7"/>
  </r>
  <r>
    <n v="195"/>
    <x v="57"/>
    <x v="194"/>
    <x v="0"/>
    <x v="8"/>
    <x v="1"/>
    <n v="1"/>
    <x v="2"/>
    <x v="2"/>
  </r>
  <r>
    <n v="196"/>
    <x v="148"/>
    <x v="195"/>
    <x v="1"/>
    <x v="40"/>
    <x v="1"/>
    <n v="3"/>
    <x v="4"/>
    <x v="12"/>
  </r>
  <r>
    <n v="197"/>
    <x v="149"/>
    <x v="196"/>
    <x v="1"/>
    <x v="13"/>
    <x v="1"/>
    <n v="4"/>
    <x v="0"/>
    <x v="7"/>
  </r>
  <r>
    <n v="198"/>
    <x v="150"/>
    <x v="197"/>
    <x v="1"/>
    <x v="31"/>
    <x v="0"/>
    <n v="3"/>
    <x v="4"/>
    <x v="12"/>
  </r>
  <r>
    <n v="199"/>
    <x v="151"/>
    <x v="198"/>
    <x v="0"/>
    <x v="5"/>
    <x v="0"/>
    <n v="3"/>
    <x v="1"/>
    <x v="9"/>
  </r>
  <r>
    <n v="200"/>
    <x v="152"/>
    <x v="199"/>
    <x v="0"/>
    <x v="15"/>
    <x v="0"/>
    <n v="3"/>
    <x v="0"/>
    <x v="0"/>
  </r>
  <r>
    <n v="201"/>
    <x v="153"/>
    <x v="200"/>
    <x v="0"/>
    <x v="37"/>
    <x v="2"/>
    <n v="1"/>
    <x v="3"/>
    <x v="16"/>
  </r>
  <r>
    <n v="202"/>
    <x v="154"/>
    <x v="201"/>
    <x v="1"/>
    <x v="0"/>
    <x v="1"/>
    <n v="4"/>
    <x v="4"/>
    <x v="14"/>
  </r>
  <r>
    <n v="203"/>
    <x v="42"/>
    <x v="202"/>
    <x v="0"/>
    <x v="37"/>
    <x v="1"/>
    <n v="2"/>
    <x v="1"/>
    <x v="1"/>
  </r>
  <r>
    <n v="204"/>
    <x v="118"/>
    <x v="203"/>
    <x v="0"/>
    <x v="23"/>
    <x v="0"/>
    <n v="1"/>
    <x v="3"/>
    <x v="16"/>
  </r>
  <r>
    <n v="205"/>
    <x v="155"/>
    <x v="204"/>
    <x v="1"/>
    <x v="22"/>
    <x v="1"/>
    <n v="1"/>
    <x v="3"/>
    <x v="16"/>
  </r>
  <r>
    <n v="206"/>
    <x v="12"/>
    <x v="205"/>
    <x v="0"/>
    <x v="39"/>
    <x v="1"/>
    <n v="1"/>
    <x v="3"/>
    <x v="16"/>
  </r>
  <r>
    <n v="207"/>
    <x v="90"/>
    <x v="206"/>
    <x v="1"/>
    <x v="13"/>
    <x v="0"/>
    <n v="2"/>
    <x v="3"/>
    <x v="5"/>
  </r>
  <r>
    <n v="208"/>
    <x v="135"/>
    <x v="207"/>
    <x v="1"/>
    <x v="0"/>
    <x v="2"/>
    <n v="4"/>
    <x v="0"/>
    <x v="7"/>
  </r>
  <r>
    <n v="209"/>
    <x v="156"/>
    <x v="208"/>
    <x v="1"/>
    <x v="4"/>
    <x v="2"/>
    <n v="4"/>
    <x v="0"/>
    <x v="7"/>
  </r>
  <r>
    <n v="210"/>
    <x v="157"/>
    <x v="209"/>
    <x v="0"/>
    <x v="3"/>
    <x v="2"/>
    <n v="4"/>
    <x v="0"/>
    <x v="7"/>
  </r>
  <r>
    <n v="211"/>
    <x v="158"/>
    <x v="210"/>
    <x v="0"/>
    <x v="13"/>
    <x v="0"/>
    <n v="3"/>
    <x v="1"/>
    <x v="9"/>
  </r>
  <r>
    <n v="212"/>
    <x v="159"/>
    <x v="211"/>
    <x v="0"/>
    <x v="34"/>
    <x v="1"/>
    <n v="3"/>
    <x v="1"/>
    <x v="9"/>
  </r>
  <r>
    <n v="213"/>
    <x v="104"/>
    <x v="212"/>
    <x v="0"/>
    <x v="15"/>
    <x v="0"/>
    <n v="3"/>
    <x v="1"/>
    <x v="9"/>
  </r>
  <r>
    <n v="214"/>
    <x v="70"/>
    <x v="213"/>
    <x v="0"/>
    <x v="29"/>
    <x v="0"/>
    <n v="2"/>
    <x v="2"/>
    <x v="17"/>
  </r>
  <r>
    <n v="215"/>
    <x v="23"/>
    <x v="214"/>
    <x v="0"/>
    <x v="26"/>
    <x v="1"/>
    <n v="3"/>
    <x v="1"/>
    <x v="9"/>
  </r>
  <r>
    <n v="216"/>
    <x v="133"/>
    <x v="215"/>
    <x v="0"/>
    <x v="17"/>
    <x v="2"/>
    <n v="2"/>
    <x v="0"/>
    <x v="4"/>
  </r>
  <r>
    <n v="217"/>
    <x v="160"/>
    <x v="216"/>
    <x v="1"/>
    <x v="10"/>
    <x v="2"/>
    <n v="4"/>
    <x v="0"/>
    <x v="7"/>
  </r>
  <r>
    <n v="218"/>
    <x v="161"/>
    <x v="217"/>
    <x v="0"/>
    <x v="12"/>
    <x v="0"/>
    <n v="3"/>
    <x v="2"/>
    <x v="15"/>
  </r>
  <r>
    <n v="219"/>
    <x v="162"/>
    <x v="218"/>
    <x v="1"/>
    <x v="45"/>
    <x v="2"/>
    <n v="3"/>
    <x v="2"/>
    <x v="15"/>
  </r>
  <r>
    <n v="220"/>
    <x v="163"/>
    <x v="219"/>
    <x v="0"/>
    <x v="12"/>
    <x v="0"/>
    <n v="1"/>
    <x v="1"/>
    <x v="3"/>
  </r>
  <r>
    <n v="221"/>
    <x v="98"/>
    <x v="220"/>
    <x v="0"/>
    <x v="23"/>
    <x v="0"/>
    <n v="2"/>
    <x v="4"/>
    <x v="6"/>
  </r>
  <r>
    <n v="222"/>
    <x v="164"/>
    <x v="221"/>
    <x v="0"/>
    <x v="25"/>
    <x v="1"/>
    <n v="4"/>
    <x v="2"/>
    <x v="10"/>
  </r>
  <r>
    <n v="223"/>
    <x v="114"/>
    <x v="222"/>
    <x v="1"/>
    <x v="12"/>
    <x v="1"/>
    <n v="1"/>
    <x v="3"/>
    <x v="16"/>
  </r>
  <r>
    <n v="224"/>
    <x v="165"/>
    <x v="223"/>
    <x v="1"/>
    <x v="36"/>
    <x v="1"/>
    <n v="1"/>
    <x v="0"/>
    <x v="5"/>
  </r>
  <r>
    <n v="225"/>
    <x v="166"/>
    <x v="224"/>
    <x v="1"/>
    <x v="35"/>
    <x v="0"/>
    <n v="4"/>
    <x v="3"/>
    <x v="4"/>
  </r>
  <r>
    <n v="226"/>
    <x v="28"/>
    <x v="225"/>
    <x v="1"/>
    <x v="39"/>
    <x v="1"/>
    <n v="1"/>
    <x v="0"/>
    <x v="5"/>
  </r>
  <r>
    <n v="227"/>
    <x v="120"/>
    <x v="226"/>
    <x v="0"/>
    <x v="32"/>
    <x v="2"/>
    <n v="2"/>
    <x v="0"/>
    <x v="4"/>
  </r>
  <r>
    <n v="228"/>
    <x v="85"/>
    <x v="227"/>
    <x v="1"/>
    <x v="42"/>
    <x v="2"/>
    <n v="2"/>
    <x v="2"/>
    <x v="17"/>
  </r>
  <r>
    <n v="229"/>
    <x v="28"/>
    <x v="228"/>
    <x v="0"/>
    <x v="26"/>
    <x v="0"/>
    <n v="3"/>
    <x v="2"/>
    <x v="15"/>
  </r>
  <r>
    <n v="230"/>
    <x v="26"/>
    <x v="229"/>
    <x v="0"/>
    <x v="31"/>
    <x v="0"/>
    <n v="1"/>
    <x v="3"/>
    <x v="16"/>
  </r>
  <r>
    <n v="231"/>
    <x v="30"/>
    <x v="230"/>
    <x v="1"/>
    <x v="9"/>
    <x v="1"/>
    <n v="3"/>
    <x v="0"/>
    <x v="0"/>
  </r>
  <r>
    <n v="232"/>
    <x v="74"/>
    <x v="231"/>
    <x v="1"/>
    <x v="22"/>
    <x v="0"/>
    <n v="1"/>
    <x v="3"/>
    <x v="16"/>
  </r>
  <r>
    <n v="233"/>
    <x v="167"/>
    <x v="232"/>
    <x v="1"/>
    <x v="25"/>
    <x v="0"/>
    <n v="2"/>
    <x v="4"/>
    <x v="6"/>
  </r>
  <r>
    <n v="234"/>
    <x v="168"/>
    <x v="233"/>
    <x v="1"/>
    <x v="17"/>
    <x v="2"/>
    <n v="2"/>
    <x v="3"/>
    <x v="5"/>
  </r>
  <r>
    <n v="235"/>
    <x v="169"/>
    <x v="234"/>
    <x v="1"/>
    <x v="9"/>
    <x v="2"/>
    <n v="2"/>
    <x v="1"/>
    <x v="1"/>
  </r>
  <r>
    <n v="236"/>
    <x v="85"/>
    <x v="235"/>
    <x v="1"/>
    <x v="31"/>
    <x v="1"/>
    <n v="1"/>
    <x v="3"/>
    <x v="16"/>
  </r>
  <r>
    <n v="237"/>
    <x v="170"/>
    <x v="236"/>
    <x v="1"/>
    <x v="2"/>
    <x v="0"/>
    <n v="2"/>
    <x v="1"/>
    <x v="1"/>
  </r>
  <r>
    <n v="238"/>
    <x v="13"/>
    <x v="237"/>
    <x v="1"/>
    <x v="23"/>
    <x v="0"/>
    <n v="1"/>
    <x v="1"/>
    <x v="3"/>
  </r>
  <r>
    <n v="239"/>
    <x v="171"/>
    <x v="238"/>
    <x v="0"/>
    <x v="21"/>
    <x v="2"/>
    <n v="3"/>
    <x v="1"/>
    <x v="9"/>
  </r>
  <r>
    <n v="240"/>
    <x v="74"/>
    <x v="239"/>
    <x v="1"/>
    <x v="9"/>
    <x v="0"/>
    <n v="1"/>
    <x v="4"/>
    <x v="13"/>
  </r>
  <r>
    <n v="241"/>
    <x v="172"/>
    <x v="240"/>
    <x v="1"/>
    <x v="9"/>
    <x v="2"/>
    <n v="3"/>
    <x v="3"/>
    <x v="8"/>
  </r>
  <r>
    <n v="242"/>
    <x v="173"/>
    <x v="241"/>
    <x v="0"/>
    <x v="34"/>
    <x v="1"/>
    <n v="1"/>
    <x v="3"/>
    <x v="16"/>
  </r>
  <r>
    <n v="243"/>
    <x v="29"/>
    <x v="242"/>
    <x v="1"/>
    <x v="16"/>
    <x v="2"/>
    <n v="3"/>
    <x v="4"/>
    <x v="12"/>
  </r>
  <r>
    <n v="244"/>
    <x v="174"/>
    <x v="243"/>
    <x v="0"/>
    <x v="20"/>
    <x v="0"/>
    <n v="2"/>
    <x v="0"/>
    <x v="4"/>
  </r>
  <r>
    <n v="245"/>
    <x v="147"/>
    <x v="244"/>
    <x v="0"/>
    <x v="16"/>
    <x v="1"/>
    <n v="3"/>
    <x v="2"/>
    <x v="15"/>
  </r>
  <r>
    <n v="246"/>
    <x v="175"/>
    <x v="245"/>
    <x v="1"/>
    <x v="27"/>
    <x v="2"/>
    <n v="2"/>
    <x v="3"/>
    <x v="5"/>
  </r>
  <r>
    <n v="247"/>
    <x v="135"/>
    <x v="246"/>
    <x v="0"/>
    <x v="41"/>
    <x v="2"/>
    <n v="2"/>
    <x v="2"/>
    <x v="17"/>
  </r>
  <r>
    <n v="248"/>
    <x v="176"/>
    <x v="247"/>
    <x v="0"/>
    <x v="1"/>
    <x v="1"/>
    <n v="3"/>
    <x v="4"/>
    <x v="12"/>
  </r>
  <r>
    <n v="249"/>
    <x v="177"/>
    <x v="248"/>
    <x v="0"/>
    <x v="29"/>
    <x v="1"/>
    <n v="1"/>
    <x v="0"/>
    <x v="5"/>
  </r>
  <r>
    <n v="250"/>
    <x v="54"/>
    <x v="249"/>
    <x v="0"/>
    <x v="27"/>
    <x v="2"/>
    <n v="1"/>
    <x v="0"/>
    <x v="5"/>
  </r>
  <r>
    <n v="251"/>
    <x v="178"/>
    <x v="250"/>
    <x v="1"/>
    <x v="35"/>
    <x v="0"/>
    <n v="4"/>
    <x v="0"/>
    <x v="7"/>
  </r>
  <r>
    <n v="252"/>
    <x v="179"/>
    <x v="251"/>
    <x v="0"/>
    <x v="31"/>
    <x v="2"/>
    <n v="1"/>
    <x v="4"/>
    <x v="13"/>
  </r>
  <r>
    <n v="253"/>
    <x v="178"/>
    <x v="252"/>
    <x v="1"/>
    <x v="45"/>
    <x v="1"/>
    <n v="4"/>
    <x v="1"/>
    <x v="11"/>
  </r>
  <r>
    <n v="254"/>
    <x v="180"/>
    <x v="253"/>
    <x v="0"/>
    <x v="41"/>
    <x v="2"/>
    <n v="1"/>
    <x v="1"/>
    <x v="3"/>
  </r>
  <r>
    <n v="255"/>
    <x v="181"/>
    <x v="254"/>
    <x v="0"/>
    <x v="27"/>
    <x v="1"/>
    <n v="1"/>
    <x v="2"/>
    <x v="2"/>
  </r>
  <r>
    <n v="256"/>
    <x v="182"/>
    <x v="255"/>
    <x v="0"/>
    <x v="9"/>
    <x v="1"/>
    <n v="2"/>
    <x v="1"/>
    <x v="1"/>
  </r>
  <r>
    <n v="257"/>
    <x v="38"/>
    <x v="256"/>
    <x v="0"/>
    <x v="14"/>
    <x v="0"/>
    <n v="4"/>
    <x v="1"/>
    <x v="11"/>
  </r>
  <r>
    <n v="258"/>
    <x v="151"/>
    <x v="257"/>
    <x v="1"/>
    <x v="3"/>
    <x v="1"/>
    <n v="1"/>
    <x v="0"/>
    <x v="5"/>
  </r>
  <r>
    <n v="259"/>
    <x v="183"/>
    <x v="258"/>
    <x v="1"/>
    <x v="5"/>
    <x v="1"/>
    <n v="4"/>
    <x v="0"/>
    <x v="7"/>
  </r>
  <r>
    <n v="260"/>
    <x v="68"/>
    <x v="259"/>
    <x v="0"/>
    <x v="20"/>
    <x v="0"/>
    <n v="2"/>
    <x v="2"/>
    <x v="17"/>
  </r>
  <r>
    <n v="261"/>
    <x v="12"/>
    <x v="260"/>
    <x v="0"/>
    <x v="34"/>
    <x v="1"/>
    <n v="2"/>
    <x v="3"/>
    <x v="5"/>
  </r>
  <r>
    <n v="262"/>
    <x v="184"/>
    <x v="261"/>
    <x v="1"/>
    <x v="40"/>
    <x v="0"/>
    <n v="4"/>
    <x v="2"/>
    <x v="10"/>
  </r>
  <r>
    <n v="263"/>
    <x v="117"/>
    <x v="262"/>
    <x v="0"/>
    <x v="9"/>
    <x v="0"/>
    <n v="2"/>
    <x v="2"/>
    <x v="17"/>
  </r>
  <r>
    <n v="264"/>
    <x v="185"/>
    <x v="263"/>
    <x v="0"/>
    <x v="16"/>
    <x v="1"/>
    <n v="3"/>
    <x v="4"/>
    <x v="12"/>
  </r>
  <r>
    <n v="265"/>
    <x v="186"/>
    <x v="264"/>
    <x v="0"/>
    <x v="28"/>
    <x v="1"/>
    <n v="3"/>
    <x v="4"/>
    <x v="12"/>
  </r>
  <r>
    <n v="266"/>
    <x v="187"/>
    <x v="265"/>
    <x v="1"/>
    <x v="14"/>
    <x v="2"/>
    <n v="2"/>
    <x v="2"/>
    <x v="17"/>
  </r>
  <r>
    <n v="267"/>
    <x v="188"/>
    <x v="266"/>
    <x v="1"/>
    <x v="40"/>
    <x v="0"/>
    <n v="3"/>
    <x v="2"/>
    <x v="15"/>
  </r>
  <r>
    <n v="268"/>
    <x v="189"/>
    <x v="267"/>
    <x v="1"/>
    <x v="20"/>
    <x v="2"/>
    <n v="1"/>
    <x v="2"/>
    <x v="2"/>
  </r>
  <r>
    <n v="269"/>
    <x v="190"/>
    <x v="268"/>
    <x v="0"/>
    <x v="36"/>
    <x v="1"/>
    <n v="4"/>
    <x v="1"/>
    <x v="11"/>
  </r>
  <r>
    <n v="270"/>
    <x v="191"/>
    <x v="269"/>
    <x v="0"/>
    <x v="22"/>
    <x v="2"/>
    <n v="1"/>
    <x v="4"/>
    <x v="13"/>
  </r>
  <r>
    <n v="271"/>
    <x v="165"/>
    <x v="270"/>
    <x v="1"/>
    <x v="17"/>
    <x v="0"/>
    <n v="4"/>
    <x v="2"/>
    <x v="10"/>
  </r>
  <r>
    <n v="272"/>
    <x v="192"/>
    <x v="271"/>
    <x v="1"/>
    <x v="39"/>
    <x v="2"/>
    <n v="2"/>
    <x v="0"/>
    <x v="4"/>
  </r>
  <r>
    <n v="273"/>
    <x v="193"/>
    <x v="272"/>
    <x v="1"/>
    <x v="11"/>
    <x v="0"/>
    <n v="1"/>
    <x v="0"/>
    <x v="5"/>
  </r>
  <r>
    <n v="274"/>
    <x v="55"/>
    <x v="273"/>
    <x v="1"/>
    <x v="9"/>
    <x v="1"/>
    <n v="2"/>
    <x v="1"/>
    <x v="1"/>
  </r>
  <r>
    <n v="275"/>
    <x v="181"/>
    <x v="274"/>
    <x v="0"/>
    <x v="22"/>
    <x v="1"/>
    <n v="2"/>
    <x v="1"/>
    <x v="1"/>
  </r>
  <r>
    <n v="276"/>
    <x v="45"/>
    <x v="275"/>
    <x v="1"/>
    <x v="34"/>
    <x v="0"/>
    <n v="4"/>
    <x v="3"/>
    <x v="4"/>
  </r>
  <r>
    <n v="277"/>
    <x v="27"/>
    <x v="276"/>
    <x v="0"/>
    <x v="32"/>
    <x v="1"/>
    <n v="4"/>
    <x v="3"/>
    <x v="4"/>
  </r>
  <r>
    <n v="278"/>
    <x v="6"/>
    <x v="277"/>
    <x v="1"/>
    <x v="3"/>
    <x v="1"/>
    <n v="4"/>
    <x v="3"/>
    <x v="4"/>
  </r>
  <r>
    <n v="279"/>
    <x v="12"/>
    <x v="278"/>
    <x v="0"/>
    <x v="2"/>
    <x v="1"/>
    <n v="1"/>
    <x v="1"/>
    <x v="3"/>
  </r>
  <r>
    <n v="280"/>
    <x v="194"/>
    <x v="279"/>
    <x v="1"/>
    <x v="3"/>
    <x v="1"/>
    <n v="3"/>
    <x v="1"/>
    <x v="9"/>
  </r>
  <r>
    <n v="281"/>
    <x v="29"/>
    <x v="280"/>
    <x v="1"/>
    <x v="38"/>
    <x v="0"/>
    <n v="4"/>
    <x v="1"/>
    <x v="11"/>
  </r>
  <r>
    <n v="282"/>
    <x v="78"/>
    <x v="281"/>
    <x v="1"/>
    <x v="12"/>
    <x v="2"/>
    <n v="4"/>
    <x v="0"/>
    <x v="7"/>
  </r>
  <r>
    <n v="283"/>
    <x v="193"/>
    <x v="282"/>
    <x v="1"/>
    <x v="18"/>
    <x v="2"/>
    <n v="1"/>
    <x v="1"/>
    <x v="3"/>
  </r>
  <r>
    <n v="284"/>
    <x v="195"/>
    <x v="283"/>
    <x v="0"/>
    <x v="22"/>
    <x v="1"/>
    <n v="4"/>
    <x v="0"/>
    <x v="7"/>
  </r>
  <r>
    <n v="285"/>
    <x v="196"/>
    <x v="284"/>
    <x v="1"/>
    <x v="33"/>
    <x v="2"/>
    <n v="1"/>
    <x v="3"/>
    <x v="16"/>
  </r>
  <r>
    <n v="286"/>
    <x v="153"/>
    <x v="285"/>
    <x v="0"/>
    <x v="28"/>
    <x v="2"/>
    <n v="2"/>
    <x v="3"/>
    <x v="5"/>
  </r>
  <r>
    <n v="287"/>
    <x v="189"/>
    <x v="286"/>
    <x v="0"/>
    <x v="31"/>
    <x v="1"/>
    <n v="4"/>
    <x v="3"/>
    <x v="4"/>
  </r>
  <r>
    <n v="288"/>
    <x v="197"/>
    <x v="287"/>
    <x v="0"/>
    <x v="20"/>
    <x v="1"/>
    <n v="4"/>
    <x v="2"/>
    <x v="10"/>
  </r>
  <r>
    <n v="289"/>
    <x v="198"/>
    <x v="288"/>
    <x v="0"/>
    <x v="45"/>
    <x v="2"/>
    <n v="2"/>
    <x v="2"/>
    <x v="17"/>
  </r>
  <r>
    <n v="290"/>
    <x v="135"/>
    <x v="289"/>
    <x v="1"/>
    <x v="4"/>
    <x v="0"/>
    <n v="2"/>
    <x v="4"/>
    <x v="6"/>
  </r>
  <r>
    <n v="291"/>
    <x v="199"/>
    <x v="290"/>
    <x v="0"/>
    <x v="43"/>
    <x v="1"/>
    <n v="2"/>
    <x v="4"/>
    <x v="6"/>
  </r>
  <r>
    <n v="292"/>
    <x v="15"/>
    <x v="291"/>
    <x v="0"/>
    <x v="29"/>
    <x v="0"/>
    <n v="4"/>
    <x v="4"/>
    <x v="14"/>
  </r>
  <r>
    <n v="293"/>
    <x v="173"/>
    <x v="292"/>
    <x v="0"/>
    <x v="2"/>
    <x v="2"/>
    <n v="3"/>
    <x v="2"/>
    <x v="15"/>
  </r>
  <r>
    <n v="294"/>
    <x v="200"/>
    <x v="293"/>
    <x v="1"/>
    <x v="9"/>
    <x v="1"/>
    <n v="3"/>
    <x v="2"/>
    <x v="15"/>
  </r>
  <r>
    <n v="295"/>
    <x v="180"/>
    <x v="294"/>
    <x v="1"/>
    <x v="15"/>
    <x v="0"/>
    <n v="3"/>
    <x v="4"/>
    <x v="12"/>
  </r>
  <r>
    <n v="296"/>
    <x v="147"/>
    <x v="295"/>
    <x v="1"/>
    <x v="11"/>
    <x v="1"/>
    <n v="4"/>
    <x v="4"/>
    <x v="14"/>
  </r>
  <r>
    <n v="297"/>
    <x v="201"/>
    <x v="296"/>
    <x v="1"/>
    <x v="30"/>
    <x v="2"/>
    <n v="2"/>
    <x v="1"/>
    <x v="1"/>
  </r>
  <r>
    <n v="298"/>
    <x v="175"/>
    <x v="297"/>
    <x v="0"/>
    <x v="15"/>
    <x v="0"/>
    <n v="4"/>
    <x v="4"/>
    <x v="14"/>
  </r>
  <r>
    <n v="299"/>
    <x v="87"/>
    <x v="298"/>
    <x v="0"/>
    <x v="39"/>
    <x v="2"/>
    <n v="2"/>
    <x v="1"/>
    <x v="1"/>
  </r>
  <r>
    <n v="300"/>
    <x v="169"/>
    <x v="299"/>
    <x v="1"/>
    <x v="14"/>
    <x v="2"/>
    <n v="4"/>
    <x v="0"/>
    <x v="7"/>
  </r>
  <r>
    <n v="301"/>
    <x v="154"/>
    <x v="300"/>
    <x v="0"/>
    <x v="4"/>
    <x v="1"/>
    <n v="4"/>
    <x v="2"/>
    <x v="10"/>
  </r>
  <r>
    <n v="302"/>
    <x v="37"/>
    <x v="301"/>
    <x v="0"/>
    <x v="35"/>
    <x v="0"/>
    <n v="2"/>
    <x v="4"/>
    <x v="6"/>
  </r>
  <r>
    <n v="303"/>
    <x v="126"/>
    <x v="302"/>
    <x v="0"/>
    <x v="14"/>
    <x v="2"/>
    <n v="3"/>
    <x v="2"/>
    <x v="15"/>
  </r>
  <r>
    <n v="304"/>
    <x v="202"/>
    <x v="303"/>
    <x v="1"/>
    <x v="3"/>
    <x v="2"/>
    <n v="2"/>
    <x v="2"/>
    <x v="17"/>
  </r>
  <r>
    <n v="305"/>
    <x v="42"/>
    <x v="304"/>
    <x v="1"/>
    <x v="18"/>
    <x v="0"/>
    <n v="1"/>
    <x v="2"/>
    <x v="2"/>
  </r>
  <r>
    <n v="306"/>
    <x v="63"/>
    <x v="305"/>
    <x v="0"/>
    <x v="31"/>
    <x v="2"/>
    <n v="1"/>
    <x v="0"/>
    <x v="5"/>
  </r>
  <r>
    <n v="307"/>
    <x v="203"/>
    <x v="306"/>
    <x v="1"/>
    <x v="1"/>
    <x v="2"/>
    <n v="2"/>
    <x v="3"/>
    <x v="5"/>
  </r>
  <r>
    <n v="308"/>
    <x v="12"/>
    <x v="307"/>
    <x v="1"/>
    <x v="0"/>
    <x v="0"/>
    <n v="4"/>
    <x v="4"/>
    <x v="14"/>
  </r>
  <r>
    <n v="309"/>
    <x v="204"/>
    <x v="308"/>
    <x v="1"/>
    <x v="1"/>
    <x v="0"/>
    <n v="1"/>
    <x v="3"/>
    <x v="16"/>
  </r>
  <r>
    <n v="310"/>
    <x v="205"/>
    <x v="309"/>
    <x v="1"/>
    <x v="20"/>
    <x v="0"/>
    <n v="1"/>
    <x v="3"/>
    <x v="16"/>
  </r>
  <r>
    <n v="311"/>
    <x v="59"/>
    <x v="310"/>
    <x v="1"/>
    <x v="40"/>
    <x v="0"/>
    <n v="4"/>
    <x v="3"/>
    <x v="4"/>
  </r>
  <r>
    <n v="312"/>
    <x v="206"/>
    <x v="311"/>
    <x v="0"/>
    <x v="41"/>
    <x v="1"/>
    <n v="4"/>
    <x v="2"/>
    <x v="10"/>
  </r>
  <r>
    <n v="313"/>
    <x v="34"/>
    <x v="312"/>
    <x v="1"/>
    <x v="28"/>
    <x v="0"/>
    <n v="3"/>
    <x v="1"/>
    <x v="9"/>
  </r>
  <r>
    <n v="314"/>
    <x v="181"/>
    <x v="313"/>
    <x v="0"/>
    <x v="8"/>
    <x v="1"/>
    <n v="4"/>
    <x v="2"/>
    <x v="10"/>
  </r>
  <r>
    <n v="315"/>
    <x v="207"/>
    <x v="314"/>
    <x v="0"/>
    <x v="16"/>
    <x v="1"/>
    <n v="2"/>
    <x v="2"/>
    <x v="17"/>
  </r>
  <r>
    <n v="316"/>
    <x v="16"/>
    <x v="315"/>
    <x v="1"/>
    <x v="27"/>
    <x v="1"/>
    <n v="2"/>
    <x v="3"/>
    <x v="5"/>
  </r>
  <r>
    <n v="317"/>
    <x v="144"/>
    <x v="316"/>
    <x v="0"/>
    <x v="11"/>
    <x v="2"/>
    <n v="3"/>
    <x v="2"/>
    <x v="15"/>
  </r>
  <r>
    <n v="318"/>
    <x v="208"/>
    <x v="317"/>
    <x v="0"/>
    <x v="39"/>
    <x v="1"/>
    <n v="1"/>
    <x v="3"/>
    <x v="16"/>
  </r>
  <r>
    <n v="319"/>
    <x v="209"/>
    <x v="318"/>
    <x v="0"/>
    <x v="33"/>
    <x v="1"/>
    <n v="1"/>
    <x v="1"/>
    <x v="3"/>
  </r>
  <r>
    <n v="320"/>
    <x v="190"/>
    <x v="319"/>
    <x v="1"/>
    <x v="20"/>
    <x v="2"/>
    <n v="4"/>
    <x v="4"/>
    <x v="14"/>
  </r>
  <r>
    <n v="321"/>
    <x v="210"/>
    <x v="320"/>
    <x v="1"/>
    <x v="1"/>
    <x v="2"/>
    <n v="2"/>
    <x v="3"/>
    <x v="5"/>
  </r>
  <r>
    <n v="322"/>
    <x v="144"/>
    <x v="321"/>
    <x v="0"/>
    <x v="25"/>
    <x v="2"/>
    <n v="1"/>
    <x v="1"/>
    <x v="3"/>
  </r>
  <r>
    <n v="323"/>
    <x v="197"/>
    <x v="322"/>
    <x v="1"/>
    <x v="38"/>
    <x v="0"/>
    <n v="3"/>
    <x v="4"/>
    <x v="12"/>
  </r>
  <r>
    <n v="324"/>
    <x v="101"/>
    <x v="323"/>
    <x v="1"/>
    <x v="8"/>
    <x v="2"/>
    <n v="3"/>
    <x v="0"/>
    <x v="0"/>
  </r>
  <r>
    <n v="325"/>
    <x v="211"/>
    <x v="324"/>
    <x v="1"/>
    <x v="8"/>
    <x v="2"/>
    <n v="2"/>
    <x v="3"/>
    <x v="5"/>
  </r>
  <r>
    <n v="326"/>
    <x v="212"/>
    <x v="325"/>
    <x v="1"/>
    <x v="18"/>
    <x v="1"/>
    <n v="3"/>
    <x v="3"/>
    <x v="8"/>
  </r>
  <r>
    <n v="327"/>
    <x v="136"/>
    <x v="326"/>
    <x v="0"/>
    <x v="35"/>
    <x v="2"/>
    <n v="3"/>
    <x v="0"/>
    <x v="0"/>
  </r>
  <r>
    <n v="328"/>
    <x v="125"/>
    <x v="327"/>
    <x v="0"/>
    <x v="23"/>
    <x v="0"/>
    <n v="2"/>
    <x v="0"/>
    <x v="4"/>
  </r>
  <r>
    <n v="329"/>
    <x v="144"/>
    <x v="328"/>
    <x v="1"/>
    <x v="6"/>
    <x v="2"/>
    <n v="4"/>
    <x v="3"/>
    <x v="4"/>
  </r>
  <r>
    <n v="330"/>
    <x v="106"/>
    <x v="329"/>
    <x v="1"/>
    <x v="36"/>
    <x v="0"/>
    <n v="4"/>
    <x v="0"/>
    <x v="7"/>
  </r>
  <r>
    <n v="331"/>
    <x v="213"/>
    <x v="330"/>
    <x v="0"/>
    <x v="20"/>
    <x v="2"/>
    <n v="3"/>
    <x v="2"/>
    <x v="15"/>
  </r>
  <r>
    <n v="332"/>
    <x v="214"/>
    <x v="331"/>
    <x v="0"/>
    <x v="26"/>
    <x v="2"/>
    <n v="4"/>
    <x v="4"/>
    <x v="14"/>
  </r>
  <r>
    <n v="333"/>
    <x v="57"/>
    <x v="332"/>
    <x v="1"/>
    <x v="31"/>
    <x v="2"/>
    <n v="4"/>
    <x v="4"/>
    <x v="14"/>
  </r>
  <r>
    <n v="334"/>
    <x v="215"/>
    <x v="333"/>
    <x v="0"/>
    <x v="33"/>
    <x v="2"/>
    <n v="3"/>
    <x v="4"/>
    <x v="12"/>
  </r>
  <r>
    <n v="335"/>
    <x v="170"/>
    <x v="334"/>
    <x v="1"/>
    <x v="16"/>
    <x v="0"/>
    <n v="4"/>
    <x v="2"/>
    <x v="10"/>
  </r>
  <r>
    <n v="336"/>
    <x v="216"/>
    <x v="335"/>
    <x v="1"/>
    <x v="8"/>
    <x v="0"/>
    <n v="3"/>
    <x v="0"/>
    <x v="0"/>
  </r>
  <r>
    <n v="337"/>
    <x v="217"/>
    <x v="336"/>
    <x v="0"/>
    <x v="21"/>
    <x v="1"/>
    <n v="1"/>
    <x v="1"/>
    <x v="3"/>
  </r>
  <r>
    <n v="338"/>
    <x v="191"/>
    <x v="337"/>
    <x v="0"/>
    <x v="31"/>
    <x v="0"/>
    <n v="2"/>
    <x v="0"/>
    <x v="4"/>
  </r>
  <r>
    <n v="339"/>
    <x v="163"/>
    <x v="338"/>
    <x v="1"/>
    <x v="11"/>
    <x v="2"/>
    <n v="2"/>
    <x v="3"/>
    <x v="5"/>
  </r>
  <r>
    <n v="340"/>
    <x v="218"/>
    <x v="339"/>
    <x v="1"/>
    <x v="32"/>
    <x v="1"/>
    <n v="4"/>
    <x v="4"/>
    <x v="14"/>
  </r>
  <r>
    <n v="341"/>
    <x v="98"/>
    <x v="340"/>
    <x v="0"/>
    <x v="33"/>
    <x v="1"/>
    <n v="4"/>
    <x v="0"/>
    <x v="7"/>
  </r>
  <r>
    <n v="342"/>
    <x v="208"/>
    <x v="341"/>
    <x v="1"/>
    <x v="22"/>
    <x v="1"/>
    <n v="4"/>
    <x v="1"/>
    <x v="11"/>
  </r>
  <r>
    <n v="343"/>
    <x v="215"/>
    <x v="342"/>
    <x v="0"/>
    <x v="34"/>
    <x v="2"/>
    <n v="2"/>
    <x v="3"/>
    <x v="5"/>
  </r>
  <r>
    <n v="344"/>
    <x v="219"/>
    <x v="343"/>
    <x v="1"/>
    <x v="13"/>
    <x v="0"/>
    <n v="1"/>
    <x v="2"/>
    <x v="2"/>
  </r>
  <r>
    <n v="345"/>
    <x v="220"/>
    <x v="344"/>
    <x v="0"/>
    <x v="17"/>
    <x v="2"/>
    <n v="1"/>
    <x v="2"/>
    <x v="2"/>
  </r>
  <r>
    <n v="346"/>
    <x v="213"/>
    <x v="345"/>
    <x v="0"/>
    <x v="42"/>
    <x v="1"/>
    <n v="2"/>
    <x v="1"/>
    <x v="1"/>
  </r>
  <r>
    <n v="347"/>
    <x v="25"/>
    <x v="346"/>
    <x v="0"/>
    <x v="13"/>
    <x v="2"/>
    <n v="1"/>
    <x v="3"/>
    <x v="16"/>
  </r>
  <r>
    <n v="348"/>
    <x v="221"/>
    <x v="347"/>
    <x v="1"/>
    <x v="10"/>
    <x v="2"/>
    <n v="2"/>
    <x v="4"/>
    <x v="6"/>
  </r>
  <r>
    <n v="349"/>
    <x v="103"/>
    <x v="348"/>
    <x v="1"/>
    <x v="35"/>
    <x v="0"/>
    <n v="1"/>
    <x v="0"/>
    <x v="5"/>
  </r>
  <r>
    <n v="350"/>
    <x v="222"/>
    <x v="349"/>
    <x v="0"/>
    <x v="36"/>
    <x v="0"/>
    <n v="3"/>
    <x v="3"/>
    <x v="8"/>
  </r>
  <r>
    <n v="351"/>
    <x v="223"/>
    <x v="350"/>
    <x v="1"/>
    <x v="37"/>
    <x v="1"/>
    <n v="3"/>
    <x v="2"/>
    <x v="15"/>
  </r>
  <r>
    <n v="352"/>
    <x v="86"/>
    <x v="351"/>
    <x v="0"/>
    <x v="35"/>
    <x v="2"/>
    <n v="2"/>
    <x v="1"/>
    <x v="1"/>
  </r>
  <r>
    <n v="353"/>
    <x v="224"/>
    <x v="352"/>
    <x v="0"/>
    <x v="33"/>
    <x v="2"/>
    <n v="1"/>
    <x v="1"/>
    <x v="3"/>
  </r>
  <r>
    <n v="354"/>
    <x v="225"/>
    <x v="353"/>
    <x v="1"/>
    <x v="19"/>
    <x v="0"/>
    <n v="4"/>
    <x v="0"/>
    <x v="7"/>
  </r>
  <r>
    <n v="355"/>
    <x v="174"/>
    <x v="354"/>
    <x v="1"/>
    <x v="28"/>
    <x v="2"/>
    <n v="1"/>
    <x v="1"/>
    <x v="3"/>
  </r>
  <r>
    <n v="356"/>
    <x v="210"/>
    <x v="355"/>
    <x v="0"/>
    <x v="2"/>
    <x v="2"/>
    <n v="3"/>
    <x v="1"/>
    <x v="9"/>
  </r>
  <r>
    <n v="357"/>
    <x v="143"/>
    <x v="356"/>
    <x v="1"/>
    <x v="30"/>
    <x v="2"/>
    <n v="3"/>
    <x v="3"/>
    <x v="8"/>
  </r>
  <r>
    <n v="358"/>
    <x v="42"/>
    <x v="357"/>
    <x v="1"/>
    <x v="40"/>
    <x v="0"/>
    <n v="1"/>
    <x v="4"/>
    <x v="13"/>
  </r>
  <r>
    <n v="359"/>
    <x v="94"/>
    <x v="358"/>
    <x v="0"/>
    <x v="2"/>
    <x v="1"/>
    <n v="1"/>
    <x v="0"/>
    <x v="5"/>
  </r>
  <r>
    <n v="360"/>
    <x v="176"/>
    <x v="359"/>
    <x v="0"/>
    <x v="13"/>
    <x v="1"/>
    <n v="4"/>
    <x v="3"/>
    <x v="4"/>
  </r>
  <r>
    <n v="361"/>
    <x v="70"/>
    <x v="360"/>
    <x v="1"/>
    <x v="0"/>
    <x v="2"/>
    <n v="4"/>
    <x v="4"/>
    <x v="14"/>
  </r>
  <r>
    <n v="362"/>
    <x v="188"/>
    <x v="361"/>
    <x v="0"/>
    <x v="2"/>
    <x v="1"/>
    <n v="1"/>
    <x v="3"/>
    <x v="16"/>
  </r>
  <r>
    <n v="363"/>
    <x v="226"/>
    <x v="362"/>
    <x v="0"/>
    <x v="12"/>
    <x v="0"/>
    <n v="1"/>
    <x v="3"/>
    <x v="16"/>
  </r>
  <r>
    <n v="364"/>
    <x v="96"/>
    <x v="363"/>
    <x v="1"/>
    <x v="14"/>
    <x v="0"/>
    <n v="1"/>
    <x v="1"/>
    <x v="3"/>
  </r>
  <r>
    <n v="365"/>
    <x v="86"/>
    <x v="364"/>
    <x v="0"/>
    <x v="33"/>
    <x v="1"/>
    <n v="1"/>
    <x v="4"/>
    <x v="13"/>
  </r>
  <r>
    <n v="366"/>
    <x v="227"/>
    <x v="365"/>
    <x v="0"/>
    <x v="35"/>
    <x v="1"/>
    <n v="2"/>
    <x v="0"/>
    <x v="4"/>
  </r>
  <r>
    <n v="367"/>
    <x v="228"/>
    <x v="366"/>
    <x v="1"/>
    <x v="35"/>
    <x v="2"/>
    <n v="1"/>
    <x v="0"/>
    <x v="5"/>
  </r>
  <r>
    <n v="368"/>
    <x v="96"/>
    <x v="367"/>
    <x v="1"/>
    <x v="37"/>
    <x v="1"/>
    <n v="4"/>
    <x v="4"/>
    <x v="14"/>
  </r>
  <r>
    <n v="369"/>
    <x v="229"/>
    <x v="368"/>
    <x v="0"/>
    <x v="9"/>
    <x v="2"/>
    <n v="3"/>
    <x v="1"/>
    <x v="9"/>
  </r>
  <r>
    <n v="370"/>
    <x v="230"/>
    <x v="369"/>
    <x v="0"/>
    <x v="9"/>
    <x v="2"/>
    <n v="2"/>
    <x v="2"/>
    <x v="17"/>
  </r>
  <r>
    <n v="371"/>
    <x v="62"/>
    <x v="370"/>
    <x v="1"/>
    <x v="29"/>
    <x v="0"/>
    <n v="1"/>
    <x v="3"/>
    <x v="16"/>
  </r>
  <r>
    <n v="372"/>
    <x v="227"/>
    <x v="371"/>
    <x v="1"/>
    <x v="46"/>
    <x v="0"/>
    <n v="3"/>
    <x v="1"/>
    <x v="9"/>
  </r>
  <r>
    <n v="373"/>
    <x v="99"/>
    <x v="372"/>
    <x v="1"/>
    <x v="36"/>
    <x v="0"/>
    <n v="2"/>
    <x v="4"/>
    <x v="6"/>
  </r>
  <r>
    <n v="374"/>
    <x v="175"/>
    <x v="373"/>
    <x v="1"/>
    <x v="42"/>
    <x v="0"/>
    <n v="3"/>
    <x v="3"/>
    <x v="8"/>
  </r>
  <r>
    <n v="375"/>
    <x v="129"/>
    <x v="374"/>
    <x v="0"/>
    <x v="40"/>
    <x v="1"/>
    <n v="1"/>
    <x v="0"/>
    <x v="5"/>
  </r>
  <r>
    <n v="376"/>
    <x v="42"/>
    <x v="375"/>
    <x v="1"/>
    <x v="12"/>
    <x v="0"/>
    <n v="1"/>
    <x v="2"/>
    <x v="2"/>
  </r>
  <r>
    <n v="377"/>
    <x v="176"/>
    <x v="376"/>
    <x v="1"/>
    <x v="6"/>
    <x v="1"/>
    <n v="4"/>
    <x v="0"/>
    <x v="7"/>
  </r>
  <r>
    <n v="378"/>
    <x v="231"/>
    <x v="377"/>
    <x v="0"/>
    <x v="2"/>
    <x v="0"/>
    <n v="1"/>
    <x v="4"/>
    <x v="13"/>
  </r>
  <r>
    <n v="379"/>
    <x v="57"/>
    <x v="378"/>
    <x v="1"/>
    <x v="16"/>
    <x v="1"/>
    <n v="1"/>
    <x v="3"/>
    <x v="16"/>
  </r>
  <r>
    <n v="380"/>
    <x v="4"/>
    <x v="379"/>
    <x v="0"/>
    <x v="37"/>
    <x v="2"/>
    <n v="2"/>
    <x v="4"/>
    <x v="6"/>
  </r>
  <r>
    <n v="381"/>
    <x v="67"/>
    <x v="380"/>
    <x v="1"/>
    <x v="24"/>
    <x v="1"/>
    <n v="4"/>
    <x v="3"/>
    <x v="4"/>
  </r>
  <r>
    <n v="382"/>
    <x v="232"/>
    <x v="381"/>
    <x v="1"/>
    <x v="45"/>
    <x v="1"/>
    <n v="2"/>
    <x v="1"/>
    <x v="1"/>
  </r>
  <r>
    <n v="383"/>
    <x v="125"/>
    <x v="382"/>
    <x v="1"/>
    <x v="6"/>
    <x v="0"/>
    <n v="3"/>
    <x v="2"/>
    <x v="15"/>
  </r>
  <r>
    <n v="384"/>
    <x v="160"/>
    <x v="383"/>
    <x v="0"/>
    <x v="28"/>
    <x v="1"/>
    <n v="1"/>
    <x v="1"/>
    <x v="3"/>
  </r>
  <r>
    <n v="385"/>
    <x v="233"/>
    <x v="384"/>
    <x v="0"/>
    <x v="2"/>
    <x v="2"/>
    <n v="3"/>
    <x v="1"/>
    <x v="9"/>
  </r>
  <r>
    <n v="386"/>
    <x v="56"/>
    <x v="385"/>
    <x v="1"/>
    <x v="31"/>
    <x v="2"/>
    <n v="2"/>
    <x v="4"/>
    <x v="6"/>
  </r>
  <r>
    <n v="387"/>
    <x v="234"/>
    <x v="386"/>
    <x v="0"/>
    <x v="24"/>
    <x v="0"/>
    <n v="1"/>
    <x v="2"/>
    <x v="2"/>
  </r>
  <r>
    <n v="388"/>
    <x v="235"/>
    <x v="387"/>
    <x v="0"/>
    <x v="2"/>
    <x v="2"/>
    <n v="1"/>
    <x v="3"/>
    <x v="16"/>
  </r>
  <r>
    <n v="389"/>
    <x v="187"/>
    <x v="388"/>
    <x v="0"/>
    <x v="34"/>
    <x v="1"/>
    <n v="2"/>
    <x v="3"/>
    <x v="5"/>
  </r>
  <r>
    <n v="390"/>
    <x v="118"/>
    <x v="389"/>
    <x v="0"/>
    <x v="23"/>
    <x v="2"/>
    <n v="2"/>
    <x v="0"/>
    <x v="4"/>
  </r>
  <r>
    <n v="391"/>
    <x v="228"/>
    <x v="390"/>
    <x v="0"/>
    <x v="14"/>
    <x v="0"/>
    <n v="2"/>
    <x v="3"/>
    <x v="5"/>
  </r>
  <r>
    <n v="392"/>
    <x v="236"/>
    <x v="391"/>
    <x v="0"/>
    <x v="15"/>
    <x v="1"/>
    <n v="2"/>
    <x v="4"/>
    <x v="6"/>
  </r>
  <r>
    <n v="393"/>
    <x v="120"/>
    <x v="392"/>
    <x v="1"/>
    <x v="11"/>
    <x v="0"/>
    <n v="2"/>
    <x v="1"/>
    <x v="1"/>
  </r>
  <r>
    <n v="394"/>
    <x v="226"/>
    <x v="393"/>
    <x v="1"/>
    <x v="15"/>
    <x v="1"/>
    <n v="1"/>
    <x v="1"/>
    <x v="3"/>
  </r>
  <r>
    <n v="395"/>
    <x v="237"/>
    <x v="394"/>
    <x v="0"/>
    <x v="2"/>
    <x v="2"/>
    <n v="2"/>
    <x v="1"/>
    <x v="1"/>
  </r>
  <r>
    <n v="396"/>
    <x v="238"/>
    <x v="395"/>
    <x v="1"/>
    <x v="28"/>
    <x v="0"/>
    <n v="1"/>
    <x v="2"/>
    <x v="2"/>
  </r>
  <r>
    <n v="397"/>
    <x v="239"/>
    <x v="396"/>
    <x v="1"/>
    <x v="4"/>
    <x v="0"/>
    <n v="1"/>
    <x v="3"/>
    <x v="16"/>
  </r>
  <r>
    <n v="398"/>
    <x v="42"/>
    <x v="397"/>
    <x v="1"/>
    <x v="27"/>
    <x v="1"/>
    <n v="2"/>
    <x v="4"/>
    <x v="6"/>
  </r>
  <r>
    <n v="399"/>
    <x v="240"/>
    <x v="398"/>
    <x v="1"/>
    <x v="12"/>
    <x v="0"/>
    <n v="2"/>
    <x v="2"/>
    <x v="17"/>
  </r>
  <r>
    <n v="400"/>
    <x v="130"/>
    <x v="399"/>
    <x v="0"/>
    <x v="45"/>
    <x v="1"/>
    <n v="4"/>
    <x v="0"/>
    <x v="7"/>
  </r>
  <r>
    <n v="401"/>
    <x v="120"/>
    <x v="400"/>
    <x v="1"/>
    <x v="17"/>
    <x v="1"/>
    <n v="1"/>
    <x v="4"/>
    <x v="13"/>
  </r>
  <r>
    <n v="402"/>
    <x v="34"/>
    <x v="401"/>
    <x v="1"/>
    <x v="41"/>
    <x v="1"/>
    <n v="2"/>
    <x v="4"/>
    <x v="6"/>
  </r>
  <r>
    <n v="403"/>
    <x v="241"/>
    <x v="402"/>
    <x v="0"/>
    <x v="40"/>
    <x v="1"/>
    <n v="2"/>
    <x v="4"/>
    <x v="6"/>
  </r>
  <r>
    <n v="404"/>
    <x v="242"/>
    <x v="403"/>
    <x v="0"/>
    <x v="6"/>
    <x v="2"/>
    <n v="2"/>
    <x v="1"/>
    <x v="1"/>
  </r>
  <r>
    <n v="405"/>
    <x v="41"/>
    <x v="404"/>
    <x v="1"/>
    <x v="36"/>
    <x v="1"/>
    <n v="4"/>
    <x v="4"/>
    <x v="14"/>
  </r>
  <r>
    <n v="406"/>
    <x v="69"/>
    <x v="405"/>
    <x v="1"/>
    <x v="11"/>
    <x v="0"/>
    <n v="4"/>
    <x v="3"/>
    <x v="4"/>
  </r>
  <r>
    <n v="407"/>
    <x v="243"/>
    <x v="406"/>
    <x v="1"/>
    <x v="6"/>
    <x v="2"/>
    <n v="3"/>
    <x v="4"/>
    <x v="12"/>
  </r>
  <r>
    <n v="408"/>
    <x v="225"/>
    <x v="407"/>
    <x v="1"/>
    <x v="12"/>
    <x v="0"/>
    <n v="1"/>
    <x v="1"/>
    <x v="3"/>
  </r>
  <r>
    <n v="409"/>
    <x v="244"/>
    <x v="408"/>
    <x v="1"/>
    <x v="34"/>
    <x v="2"/>
    <n v="3"/>
    <x v="4"/>
    <x v="12"/>
  </r>
  <r>
    <n v="410"/>
    <x v="245"/>
    <x v="409"/>
    <x v="1"/>
    <x v="38"/>
    <x v="1"/>
    <n v="2"/>
    <x v="0"/>
    <x v="4"/>
  </r>
  <r>
    <n v="411"/>
    <x v="42"/>
    <x v="410"/>
    <x v="0"/>
    <x v="17"/>
    <x v="2"/>
    <n v="4"/>
    <x v="0"/>
    <x v="7"/>
  </r>
  <r>
    <n v="412"/>
    <x v="18"/>
    <x v="411"/>
    <x v="1"/>
    <x v="14"/>
    <x v="2"/>
    <n v="4"/>
    <x v="1"/>
    <x v="11"/>
  </r>
  <r>
    <n v="413"/>
    <x v="140"/>
    <x v="412"/>
    <x v="1"/>
    <x v="24"/>
    <x v="0"/>
    <n v="3"/>
    <x v="3"/>
    <x v="8"/>
  </r>
  <r>
    <n v="414"/>
    <x v="119"/>
    <x v="413"/>
    <x v="0"/>
    <x v="27"/>
    <x v="0"/>
    <n v="4"/>
    <x v="3"/>
    <x v="4"/>
  </r>
  <r>
    <n v="415"/>
    <x v="246"/>
    <x v="414"/>
    <x v="0"/>
    <x v="45"/>
    <x v="1"/>
    <n v="2"/>
    <x v="2"/>
    <x v="17"/>
  </r>
  <r>
    <n v="416"/>
    <x v="15"/>
    <x v="415"/>
    <x v="0"/>
    <x v="45"/>
    <x v="2"/>
    <n v="4"/>
    <x v="1"/>
    <x v="11"/>
  </r>
  <r>
    <n v="417"/>
    <x v="245"/>
    <x v="416"/>
    <x v="0"/>
    <x v="22"/>
    <x v="2"/>
    <n v="3"/>
    <x v="4"/>
    <x v="12"/>
  </r>
  <r>
    <n v="418"/>
    <x v="12"/>
    <x v="417"/>
    <x v="1"/>
    <x v="43"/>
    <x v="2"/>
    <n v="2"/>
    <x v="1"/>
    <x v="1"/>
  </r>
  <r>
    <n v="419"/>
    <x v="247"/>
    <x v="418"/>
    <x v="1"/>
    <x v="24"/>
    <x v="1"/>
    <n v="3"/>
    <x v="2"/>
    <x v="15"/>
  </r>
  <r>
    <n v="420"/>
    <x v="43"/>
    <x v="419"/>
    <x v="1"/>
    <x v="11"/>
    <x v="1"/>
    <n v="4"/>
    <x v="1"/>
    <x v="11"/>
  </r>
  <r>
    <n v="421"/>
    <x v="126"/>
    <x v="420"/>
    <x v="1"/>
    <x v="3"/>
    <x v="1"/>
    <n v="3"/>
    <x v="1"/>
    <x v="9"/>
  </r>
  <r>
    <n v="422"/>
    <x v="248"/>
    <x v="421"/>
    <x v="1"/>
    <x v="20"/>
    <x v="1"/>
    <n v="3"/>
    <x v="2"/>
    <x v="15"/>
  </r>
  <r>
    <n v="423"/>
    <x v="249"/>
    <x v="422"/>
    <x v="1"/>
    <x v="15"/>
    <x v="1"/>
    <n v="1"/>
    <x v="3"/>
    <x v="16"/>
  </r>
  <r>
    <n v="424"/>
    <x v="250"/>
    <x v="423"/>
    <x v="0"/>
    <x v="35"/>
    <x v="0"/>
    <n v="4"/>
    <x v="4"/>
    <x v="14"/>
  </r>
  <r>
    <n v="425"/>
    <x v="100"/>
    <x v="424"/>
    <x v="1"/>
    <x v="28"/>
    <x v="2"/>
    <n v="4"/>
    <x v="2"/>
    <x v="10"/>
  </r>
  <r>
    <n v="426"/>
    <x v="134"/>
    <x v="425"/>
    <x v="0"/>
    <x v="9"/>
    <x v="2"/>
    <n v="3"/>
    <x v="0"/>
    <x v="0"/>
  </r>
  <r>
    <n v="427"/>
    <x v="196"/>
    <x v="426"/>
    <x v="0"/>
    <x v="36"/>
    <x v="2"/>
    <n v="1"/>
    <x v="3"/>
    <x v="16"/>
  </r>
  <r>
    <n v="428"/>
    <x v="49"/>
    <x v="427"/>
    <x v="1"/>
    <x v="30"/>
    <x v="2"/>
    <n v="4"/>
    <x v="0"/>
    <x v="7"/>
  </r>
  <r>
    <n v="429"/>
    <x v="251"/>
    <x v="428"/>
    <x v="0"/>
    <x v="12"/>
    <x v="2"/>
    <n v="2"/>
    <x v="3"/>
    <x v="5"/>
  </r>
  <r>
    <n v="430"/>
    <x v="252"/>
    <x v="429"/>
    <x v="1"/>
    <x v="22"/>
    <x v="2"/>
    <n v="3"/>
    <x v="4"/>
    <x v="12"/>
  </r>
  <r>
    <n v="431"/>
    <x v="21"/>
    <x v="430"/>
    <x v="0"/>
    <x v="7"/>
    <x v="2"/>
    <n v="4"/>
    <x v="4"/>
    <x v="14"/>
  </r>
  <r>
    <n v="432"/>
    <x v="228"/>
    <x v="431"/>
    <x v="1"/>
    <x v="43"/>
    <x v="2"/>
    <n v="2"/>
    <x v="1"/>
    <x v="1"/>
  </r>
  <r>
    <n v="433"/>
    <x v="1"/>
    <x v="432"/>
    <x v="0"/>
    <x v="38"/>
    <x v="0"/>
    <n v="4"/>
    <x v="0"/>
    <x v="7"/>
  </r>
  <r>
    <n v="434"/>
    <x v="195"/>
    <x v="433"/>
    <x v="1"/>
    <x v="22"/>
    <x v="2"/>
    <n v="2"/>
    <x v="3"/>
    <x v="5"/>
  </r>
  <r>
    <n v="435"/>
    <x v="156"/>
    <x v="434"/>
    <x v="1"/>
    <x v="4"/>
    <x v="0"/>
    <n v="3"/>
    <x v="4"/>
    <x v="12"/>
  </r>
  <r>
    <n v="436"/>
    <x v="253"/>
    <x v="435"/>
    <x v="1"/>
    <x v="35"/>
    <x v="1"/>
    <n v="4"/>
    <x v="2"/>
    <x v="10"/>
  </r>
  <r>
    <n v="437"/>
    <x v="9"/>
    <x v="436"/>
    <x v="1"/>
    <x v="10"/>
    <x v="2"/>
    <n v="4"/>
    <x v="4"/>
    <x v="14"/>
  </r>
  <r>
    <n v="438"/>
    <x v="254"/>
    <x v="437"/>
    <x v="1"/>
    <x v="13"/>
    <x v="1"/>
    <n v="1"/>
    <x v="2"/>
    <x v="2"/>
  </r>
  <r>
    <n v="439"/>
    <x v="67"/>
    <x v="438"/>
    <x v="0"/>
    <x v="2"/>
    <x v="1"/>
    <n v="3"/>
    <x v="3"/>
    <x v="8"/>
  </r>
  <r>
    <n v="440"/>
    <x v="103"/>
    <x v="439"/>
    <x v="0"/>
    <x v="12"/>
    <x v="1"/>
    <n v="2"/>
    <x v="4"/>
    <x v="6"/>
  </r>
  <r>
    <n v="441"/>
    <x v="49"/>
    <x v="440"/>
    <x v="0"/>
    <x v="35"/>
    <x v="0"/>
    <n v="4"/>
    <x v="4"/>
    <x v="14"/>
  </r>
  <r>
    <n v="442"/>
    <x v="255"/>
    <x v="441"/>
    <x v="1"/>
    <x v="43"/>
    <x v="1"/>
    <n v="4"/>
    <x v="3"/>
    <x v="4"/>
  </r>
  <r>
    <n v="443"/>
    <x v="183"/>
    <x v="442"/>
    <x v="0"/>
    <x v="38"/>
    <x v="1"/>
    <n v="2"/>
    <x v="4"/>
    <x v="6"/>
  </r>
  <r>
    <n v="444"/>
    <x v="150"/>
    <x v="443"/>
    <x v="1"/>
    <x v="39"/>
    <x v="1"/>
    <n v="3"/>
    <x v="2"/>
    <x v="15"/>
  </r>
  <r>
    <n v="445"/>
    <x v="256"/>
    <x v="444"/>
    <x v="1"/>
    <x v="45"/>
    <x v="2"/>
    <n v="1"/>
    <x v="4"/>
    <x v="13"/>
  </r>
  <r>
    <n v="446"/>
    <x v="142"/>
    <x v="445"/>
    <x v="0"/>
    <x v="34"/>
    <x v="2"/>
    <n v="1"/>
    <x v="0"/>
    <x v="5"/>
  </r>
  <r>
    <n v="447"/>
    <x v="65"/>
    <x v="446"/>
    <x v="0"/>
    <x v="11"/>
    <x v="0"/>
    <n v="4"/>
    <x v="1"/>
    <x v="11"/>
  </r>
  <r>
    <n v="448"/>
    <x v="219"/>
    <x v="447"/>
    <x v="1"/>
    <x v="31"/>
    <x v="0"/>
    <n v="2"/>
    <x v="2"/>
    <x v="17"/>
  </r>
  <r>
    <n v="449"/>
    <x v="39"/>
    <x v="448"/>
    <x v="0"/>
    <x v="36"/>
    <x v="2"/>
    <n v="4"/>
    <x v="0"/>
    <x v="7"/>
  </r>
  <r>
    <n v="450"/>
    <x v="69"/>
    <x v="449"/>
    <x v="1"/>
    <x v="42"/>
    <x v="0"/>
    <n v="2"/>
    <x v="3"/>
    <x v="5"/>
  </r>
  <r>
    <n v="451"/>
    <x v="72"/>
    <x v="450"/>
    <x v="1"/>
    <x v="5"/>
    <x v="2"/>
    <n v="1"/>
    <x v="2"/>
    <x v="2"/>
  </r>
  <r>
    <n v="452"/>
    <x v="193"/>
    <x v="451"/>
    <x v="1"/>
    <x v="27"/>
    <x v="1"/>
    <n v="3"/>
    <x v="1"/>
    <x v="9"/>
  </r>
  <r>
    <n v="453"/>
    <x v="236"/>
    <x v="452"/>
    <x v="1"/>
    <x v="1"/>
    <x v="1"/>
    <n v="2"/>
    <x v="1"/>
    <x v="1"/>
  </r>
  <r>
    <n v="454"/>
    <x v="7"/>
    <x v="453"/>
    <x v="1"/>
    <x v="6"/>
    <x v="0"/>
    <n v="1"/>
    <x v="3"/>
    <x v="16"/>
  </r>
  <r>
    <n v="455"/>
    <x v="68"/>
    <x v="454"/>
    <x v="0"/>
    <x v="33"/>
    <x v="2"/>
    <n v="4"/>
    <x v="3"/>
    <x v="4"/>
  </r>
  <r>
    <n v="456"/>
    <x v="257"/>
    <x v="455"/>
    <x v="0"/>
    <x v="35"/>
    <x v="2"/>
    <n v="2"/>
    <x v="2"/>
    <x v="17"/>
  </r>
  <r>
    <n v="457"/>
    <x v="180"/>
    <x v="456"/>
    <x v="1"/>
    <x v="26"/>
    <x v="0"/>
    <n v="3"/>
    <x v="4"/>
    <x v="12"/>
  </r>
  <r>
    <n v="458"/>
    <x v="220"/>
    <x v="457"/>
    <x v="1"/>
    <x v="23"/>
    <x v="2"/>
    <n v="4"/>
    <x v="3"/>
    <x v="4"/>
  </r>
  <r>
    <n v="459"/>
    <x v="34"/>
    <x v="458"/>
    <x v="0"/>
    <x v="20"/>
    <x v="1"/>
    <n v="4"/>
    <x v="4"/>
    <x v="14"/>
  </r>
  <r>
    <n v="460"/>
    <x v="173"/>
    <x v="459"/>
    <x v="0"/>
    <x v="30"/>
    <x v="0"/>
    <n v="1"/>
    <x v="0"/>
    <x v="5"/>
  </r>
  <r>
    <n v="461"/>
    <x v="66"/>
    <x v="460"/>
    <x v="1"/>
    <x v="18"/>
    <x v="0"/>
    <n v="2"/>
    <x v="1"/>
    <x v="1"/>
  </r>
  <r>
    <n v="462"/>
    <x v="258"/>
    <x v="461"/>
    <x v="0"/>
    <x v="7"/>
    <x v="2"/>
    <n v="4"/>
    <x v="4"/>
    <x v="14"/>
  </r>
  <r>
    <n v="463"/>
    <x v="259"/>
    <x v="462"/>
    <x v="1"/>
    <x v="31"/>
    <x v="0"/>
    <n v="3"/>
    <x v="1"/>
    <x v="9"/>
  </r>
  <r>
    <n v="464"/>
    <x v="2"/>
    <x v="463"/>
    <x v="0"/>
    <x v="21"/>
    <x v="2"/>
    <n v="2"/>
    <x v="4"/>
    <x v="6"/>
  </r>
  <r>
    <n v="465"/>
    <x v="128"/>
    <x v="464"/>
    <x v="1"/>
    <x v="22"/>
    <x v="2"/>
    <n v="3"/>
    <x v="0"/>
    <x v="0"/>
  </r>
  <r>
    <n v="466"/>
    <x v="248"/>
    <x v="465"/>
    <x v="0"/>
    <x v="7"/>
    <x v="2"/>
    <n v="4"/>
    <x v="3"/>
    <x v="4"/>
  </r>
  <r>
    <n v="467"/>
    <x v="184"/>
    <x v="466"/>
    <x v="1"/>
    <x v="45"/>
    <x v="2"/>
    <n v="3"/>
    <x v="0"/>
    <x v="0"/>
  </r>
  <r>
    <n v="468"/>
    <x v="174"/>
    <x v="467"/>
    <x v="0"/>
    <x v="30"/>
    <x v="2"/>
    <n v="1"/>
    <x v="3"/>
    <x v="16"/>
  </r>
  <r>
    <n v="469"/>
    <x v="193"/>
    <x v="468"/>
    <x v="0"/>
    <x v="18"/>
    <x v="0"/>
    <n v="3"/>
    <x v="3"/>
    <x v="8"/>
  </r>
  <r>
    <n v="470"/>
    <x v="71"/>
    <x v="469"/>
    <x v="1"/>
    <x v="35"/>
    <x v="1"/>
    <n v="2"/>
    <x v="1"/>
    <x v="1"/>
  </r>
  <r>
    <n v="471"/>
    <x v="31"/>
    <x v="470"/>
    <x v="0"/>
    <x v="40"/>
    <x v="1"/>
    <n v="3"/>
    <x v="0"/>
    <x v="0"/>
  </r>
  <r>
    <n v="472"/>
    <x v="24"/>
    <x v="471"/>
    <x v="1"/>
    <x v="21"/>
    <x v="0"/>
    <n v="3"/>
    <x v="4"/>
    <x v="12"/>
  </r>
  <r>
    <n v="473"/>
    <x v="192"/>
    <x v="472"/>
    <x v="0"/>
    <x v="12"/>
    <x v="0"/>
    <n v="1"/>
    <x v="0"/>
    <x v="5"/>
  </r>
  <r>
    <n v="474"/>
    <x v="116"/>
    <x v="473"/>
    <x v="1"/>
    <x v="1"/>
    <x v="1"/>
    <n v="3"/>
    <x v="1"/>
    <x v="9"/>
  </r>
  <r>
    <n v="475"/>
    <x v="260"/>
    <x v="474"/>
    <x v="0"/>
    <x v="1"/>
    <x v="1"/>
    <n v="3"/>
    <x v="3"/>
    <x v="8"/>
  </r>
  <r>
    <n v="476"/>
    <x v="261"/>
    <x v="475"/>
    <x v="1"/>
    <x v="15"/>
    <x v="1"/>
    <n v="4"/>
    <x v="1"/>
    <x v="11"/>
  </r>
  <r>
    <n v="477"/>
    <x v="262"/>
    <x v="476"/>
    <x v="0"/>
    <x v="22"/>
    <x v="1"/>
    <n v="4"/>
    <x v="2"/>
    <x v="10"/>
  </r>
  <r>
    <n v="478"/>
    <x v="157"/>
    <x v="477"/>
    <x v="1"/>
    <x v="26"/>
    <x v="1"/>
    <n v="2"/>
    <x v="2"/>
    <x v="17"/>
  </r>
  <r>
    <n v="479"/>
    <x v="44"/>
    <x v="478"/>
    <x v="0"/>
    <x v="8"/>
    <x v="2"/>
    <n v="4"/>
    <x v="4"/>
    <x v="14"/>
  </r>
  <r>
    <n v="480"/>
    <x v="263"/>
    <x v="479"/>
    <x v="1"/>
    <x v="13"/>
    <x v="0"/>
    <n v="4"/>
    <x v="1"/>
    <x v="11"/>
  </r>
  <r>
    <n v="481"/>
    <x v="264"/>
    <x v="480"/>
    <x v="1"/>
    <x v="22"/>
    <x v="2"/>
    <n v="4"/>
    <x v="4"/>
    <x v="14"/>
  </r>
  <r>
    <n v="482"/>
    <x v="60"/>
    <x v="481"/>
    <x v="1"/>
    <x v="20"/>
    <x v="1"/>
    <n v="4"/>
    <x v="4"/>
    <x v="14"/>
  </r>
  <r>
    <n v="483"/>
    <x v="5"/>
    <x v="482"/>
    <x v="0"/>
    <x v="28"/>
    <x v="1"/>
    <n v="1"/>
    <x v="2"/>
    <x v="2"/>
  </r>
  <r>
    <n v="484"/>
    <x v="2"/>
    <x v="483"/>
    <x v="1"/>
    <x v="14"/>
    <x v="1"/>
    <n v="4"/>
    <x v="4"/>
    <x v="14"/>
  </r>
  <r>
    <n v="485"/>
    <x v="151"/>
    <x v="484"/>
    <x v="0"/>
    <x v="46"/>
    <x v="2"/>
    <n v="1"/>
    <x v="2"/>
    <x v="2"/>
  </r>
  <r>
    <n v="486"/>
    <x v="55"/>
    <x v="485"/>
    <x v="1"/>
    <x v="10"/>
    <x v="2"/>
    <n v="1"/>
    <x v="3"/>
    <x v="16"/>
  </r>
  <r>
    <n v="487"/>
    <x v="104"/>
    <x v="486"/>
    <x v="0"/>
    <x v="24"/>
    <x v="1"/>
    <n v="4"/>
    <x v="1"/>
    <x v="11"/>
  </r>
  <r>
    <n v="488"/>
    <x v="265"/>
    <x v="487"/>
    <x v="1"/>
    <x v="25"/>
    <x v="2"/>
    <n v="3"/>
    <x v="4"/>
    <x v="12"/>
  </r>
  <r>
    <n v="489"/>
    <x v="29"/>
    <x v="488"/>
    <x v="0"/>
    <x v="24"/>
    <x v="2"/>
    <n v="1"/>
    <x v="2"/>
    <x v="2"/>
  </r>
  <r>
    <n v="490"/>
    <x v="57"/>
    <x v="489"/>
    <x v="0"/>
    <x v="0"/>
    <x v="1"/>
    <n v="3"/>
    <x v="0"/>
    <x v="0"/>
  </r>
  <r>
    <n v="491"/>
    <x v="29"/>
    <x v="490"/>
    <x v="1"/>
    <x v="43"/>
    <x v="2"/>
    <n v="3"/>
    <x v="4"/>
    <x v="12"/>
  </r>
  <r>
    <n v="492"/>
    <x v="263"/>
    <x v="491"/>
    <x v="0"/>
    <x v="39"/>
    <x v="0"/>
    <n v="4"/>
    <x v="3"/>
    <x v="4"/>
  </r>
  <r>
    <n v="493"/>
    <x v="123"/>
    <x v="492"/>
    <x v="0"/>
    <x v="41"/>
    <x v="0"/>
    <n v="2"/>
    <x v="3"/>
    <x v="5"/>
  </r>
  <r>
    <n v="494"/>
    <x v="106"/>
    <x v="493"/>
    <x v="1"/>
    <x v="13"/>
    <x v="0"/>
    <n v="4"/>
    <x v="0"/>
    <x v="7"/>
  </r>
  <r>
    <n v="495"/>
    <x v="104"/>
    <x v="494"/>
    <x v="0"/>
    <x v="46"/>
    <x v="0"/>
    <n v="2"/>
    <x v="2"/>
    <x v="17"/>
  </r>
  <r>
    <n v="496"/>
    <x v="266"/>
    <x v="495"/>
    <x v="0"/>
    <x v="9"/>
    <x v="1"/>
    <n v="2"/>
    <x v="4"/>
    <x v="6"/>
  </r>
  <r>
    <n v="497"/>
    <x v="45"/>
    <x v="496"/>
    <x v="0"/>
    <x v="41"/>
    <x v="1"/>
    <n v="4"/>
    <x v="2"/>
    <x v="10"/>
  </r>
  <r>
    <n v="498"/>
    <x v="171"/>
    <x v="497"/>
    <x v="1"/>
    <x v="2"/>
    <x v="1"/>
    <n v="4"/>
    <x v="3"/>
    <x v="4"/>
  </r>
  <r>
    <n v="499"/>
    <x v="267"/>
    <x v="498"/>
    <x v="0"/>
    <x v="6"/>
    <x v="0"/>
    <n v="2"/>
    <x v="2"/>
    <x v="17"/>
  </r>
  <r>
    <n v="500"/>
    <x v="240"/>
    <x v="499"/>
    <x v="1"/>
    <x v="43"/>
    <x v="0"/>
    <n v="4"/>
    <x v="3"/>
    <x v="4"/>
  </r>
  <r>
    <n v="501"/>
    <x v="224"/>
    <x v="500"/>
    <x v="0"/>
    <x v="23"/>
    <x v="2"/>
    <n v="2"/>
    <x v="2"/>
    <x v="17"/>
  </r>
  <r>
    <n v="502"/>
    <x v="128"/>
    <x v="501"/>
    <x v="0"/>
    <x v="22"/>
    <x v="2"/>
    <n v="3"/>
    <x v="0"/>
    <x v="0"/>
  </r>
  <r>
    <n v="503"/>
    <x v="268"/>
    <x v="502"/>
    <x v="0"/>
    <x v="5"/>
    <x v="0"/>
    <n v="4"/>
    <x v="1"/>
    <x v="11"/>
  </r>
  <r>
    <n v="504"/>
    <x v="42"/>
    <x v="503"/>
    <x v="1"/>
    <x v="21"/>
    <x v="0"/>
    <n v="3"/>
    <x v="0"/>
    <x v="0"/>
  </r>
  <r>
    <n v="505"/>
    <x v="260"/>
    <x v="504"/>
    <x v="0"/>
    <x v="46"/>
    <x v="0"/>
    <n v="1"/>
    <x v="0"/>
    <x v="5"/>
  </r>
  <r>
    <n v="506"/>
    <x v="192"/>
    <x v="505"/>
    <x v="0"/>
    <x v="0"/>
    <x v="0"/>
    <n v="3"/>
    <x v="1"/>
    <x v="9"/>
  </r>
  <r>
    <n v="507"/>
    <x v="113"/>
    <x v="506"/>
    <x v="1"/>
    <x v="3"/>
    <x v="2"/>
    <n v="3"/>
    <x v="1"/>
    <x v="9"/>
  </r>
  <r>
    <n v="508"/>
    <x v="124"/>
    <x v="507"/>
    <x v="0"/>
    <x v="26"/>
    <x v="0"/>
    <n v="2"/>
    <x v="4"/>
    <x v="6"/>
  </r>
  <r>
    <n v="509"/>
    <x v="40"/>
    <x v="508"/>
    <x v="1"/>
    <x v="3"/>
    <x v="2"/>
    <n v="3"/>
    <x v="4"/>
    <x v="12"/>
  </r>
  <r>
    <n v="510"/>
    <x v="210"/>
    <x v="509"/>
    <x v="1"/>
    <x v="23"/>
    <x v="0"/>
    <n v="4"/>
    <x v="0"/>
    <x v="7"/>
  </r>
  <r>
    <n v="511"/>
    <x v="269"/>
    <x v="510"/>
    <x v="0"/>
    <x v="5"/>
    <x v="0"/>
    <n v="2"/>
    <x v="0"/>
    <x v="4"/>
  </r>
  <r>
    <n v="512"/>
    <x v="155"/>
    <x v="511"/>
    <x v="1"/>
    <x v="35"/>
    <x v="0"/>
    <n v="1"/>
    <x v="3"/>
    <x v="16"/>
  </r>
  <r>
    <n v="513"/>
    <x v="270"/>
    <x v="512"/>
    <x v="0"/>
    <x v="46"/>
    <x v="2"/>
    <n v="4"/>
    <x v="3"/>
    <x v="4"/>
  </r>
  <r>
    <n v="514"/>
    <x v="240"/>
    <x v="513"/>
    <x v="1"/>
    <x v="18"/>
    <x v="2"/>
    <n v="1"/>
    <x v="4"/>
    <x v="13"/>
  </r>
  <r>
    <n v="515"/>
    <x v="115"/>
    <x v="514"/>
    <x v="1"/>
    <x v="19"/>
    <x v="1"/>
    <n v="3"/>
    <x v="4"/>
    <x v="12"/>
  </r>
  <r>
    <n v="516"/>
    <x v="54"/>
    <x v="515"/>
    <x v="0"/>
    <x v="4"/>
    <x v="0"/>
    <n v="4"/>
    <x v="3"/>
    <x v="4"/>
  </r>
  <r>
    <n v="517"/>
    <x v="181"/>
    <x v="516"/>
    <x v="1"/>
    <x v="16"/>
    <x v="1"/>
    <n v="4"/>
    <x v="3"/>
    <x v="4"/>
  </r>
  <r>
    <n v="518"/>
    <x v="271"/>
    <x v="517"/>
    <x v="1"/>
    <x v="30"/>
    <x v="1"/>
    <n v="1"/>
    <x v="2"/>
    <x v="2"/>
  </r>
  <r>
    <n v="519"/>
    <x v="43"/>
    <x v="518"/>
    <x v="1"/>
    <x v="32"/>
    <x v="2"/>
    <n v="4"/>
    <x v="2"/>
    <x v="10"/>
  </r>
  <r>
    <n v="520"/>
    <x v="167"/>
    <x v="519"/>
    <x v="1"/>
    <x v="19"/>
    <x v="2"/>
    <n v="4"/>
    <x v="3"/>
    <x v="4"/>
  </r>
  <r>
    <n v="521"/>
    <x v="269"/>
    <x v="520"/>
    <x v="1"/>
    <x v="16"/>
    <x v="1"/>
    <n v="4"/>
    <x v="2"/>
    <x v="10"/>
  </r>
  <r>
    <n v="522"/>
    <x v="137"/>
    <x v="521"/>
    <x v="0"/>
    <x v="6"/>
    <x v="0"/>
    <n v="3"/>
    <x v="1"/>
    <x v="9"/>
  </r>
  <r>
    <n v="523"/>
    <x v="272"/>
    <x v="522"/>
    <x v="1"/>
    <x v="17"/>
    <x v="2"/>
    <n v="1"/>
    <x v="4"/>
    <x v="13"/>
  </r>
  <r>
    <n v="524"/>
    <x v="99"/>
    <x v="523"/>
    <x v="0"/>
    <x v="6"/>
    <x v="0"/>
    <n v="4"/>
    <x v="4"/>
    <x v="14"/>
  </r>
  <r>
    <n v="525"/>
    <x v="244"/>
    <x v="524"/>
    <x v="1"/>
    <x v="16"/>
    <x v="0"/>
    <n v="2"/>
    <x v="3"/>
    <x v="5"/>
  </r>
  <r>
    <n v="526"/>
    <x v="70"/>
    <x v="525"/>
    <x v="0"/>
    <x v="44"/>
    <x v="1"/>
    <n v="2"/>
    <x v="0"/>
    <x v="4"/>
  </r>
  <r>
    <n v="527"/>
    <x v="273"/>
    <x v="526"/>
    <x v="0"/>
    <x v="35"/>
    <x v="1"/>
    <n v="2"/>
    <x v="3"/>
    <x v="5"/>
  </r>
  <r>
    <n v="528"/>
    <x v="65"/>
    <x v="527"/>
    <x v="1"/>
    <x v="32"/>
    <x v="1"/>
    <n v="2"/>
    <x v="2"/>
    <x v="17"/>
  </r>
  <r>
    <n v="529"/>
    <x v="183"/>
    <x v="528"/>
    <x v="1"/>
    <x v="10"/>
    <x v="1"/>
    <n v="3"/>
    <x v="0"/>
    <x v="0"/>
  </r>
  <r>
    <n v="530"/>
    <x v="57"/>
    <x v="529"/>
    <x v="1"/>
    <x v="18"/>
    <x v="2"/>
    <n v="4"/>
    <x v="2"/>
    <x v="10"/>
  </r>
  <r>
    <n v="531"/>
    <x v="274"/>
    <x v="530"/>
    <x v="0"/>
    <x v="33"/>
    <x v="2"/>
    <n v="1"/>
    <x v="1"/>
    <x v="3"/>
  </r>
  <r>
    <n v="532"/>
    <x v="171"/>
    <x v="531"/>
    <x v="1"/>
    <x v="12"/>
    <x v="1"/>
    <n v="4"/>
    <x v="2"/>
    <x v="10"/>
  </r>
  <r>
    <n v="533"/>
    <x v="275"/>
    <x v="532"/>
    <x v="0"/>
    <x v="14"/>
    <x v="2"/>
    <n v="3"/>
    <x v="1"/>
    <x v="9"/>
  </r>
  <r>
    <n v="534"/>
    <x v="210"/>
    <x v="533"/>
    <x v="0"/>
    <x v="5"/>
    <x v="1"/>
    <n v="2"/>
    <x v="1"/>
    <x v="1"/>
  </r>
  <r>
    <n v="535"/>
    <x v="237"/>
    <x v="534"/>
    <x v="0"/>
    <x v="16"/>
    <x v="0"/>
    <n v="3"/>
    <x v="2"/>
    <x v="15"/>
  </r>
  <r>
    <n v="536"/>
    <x v="46"/>
    <x v="535"/>
    <x v="1"/>
    <x v="28"/>
    <x v="0"/>
    <n v="4"/>
    <x v="2"/>
    <x v="10"/>
  </r>
  <r>
    <n v="537"/>
    <x v="226"/>
    <x v="536"/>
    <x v="1"/>
    <x v="34"/>
    <x v="0"/>
    <n v="1"/>
    <x v="1"/>
    <x v="3"/>
  </r>
  <r>
    <n v="538"/>
    <x v="129"/>
    <x v="537"/>
    <x v="0"/>
    <x v="18"/>
    <x v="1"/>
    <n v="3"/>
    <x v="0"/>
    <x v="0"/>
  </r>
  <r>
    <n v="539"/>
    <x v="276"/>
    <x v="538"/>
    <x v="0"/>
    <x v="36"/>
    <x v="0"/>
    <n v="1"/>
    <x v="1"/>
    <x v="3"/>
  </r>
  <r>
    <n v="540"/>
    <x v="236"/>
    <x v="539"/>
    <x v="1"/>
    <x v="6"/>
    <x v="2"/>
    <n v="3"/>
    <x v="4"/>
    <x v="12"/>
  </r>
  <r>
    <n v="541"/>
    <x v="277"/>
    <x v="540"/>
    <x v="0"/>
    <x v="37"/>
    <x v="0"/>
    <n v="1"/>
    <x v="1"/>
    <x v="3"/>
  </r>
  <r>
    <n v="542"/>
    <x v="278"/>
    <x v="541"/>
    <x v="1"/>
    <x v="29"/>
    <x v="0"/>
    <n v="1"/>
    <x v="0"/>
    <x v="5"/>
  </r>
  <r>
    <n v="543"/>
    <x v="191"/>
    <x v="542"/>
    <x v="0"/>
    <x v="19"/>
    <x v="0"/>
    <n v="2"/>
    <x v="4"/>
    <x v="6"/>
  </r>
  <r>
    <n v="544"/>
    <x v="204"/>
    <x v="543"/>
    <x v="1"/>
    <x v="15"/>
    <x v="2"/>
    <n v="1"/>
    <x v="3"/>
    <x v="16"/>
  </r>
  <r>
    <n v="545"/>
    <x v="207"/>
    <x v="544"/>
    <x v="0"/>
    <x v="15"/>
    <x v="1"/>
    <n v="2"/>
    <x v="3"/>
    <x v="5"/>
  </r>
  <r>
    <n v="546"/>
    <x v="120"/>
    <x v="545"/>
    <x v="1"/>
    <x v="32"/>
    <x v="2"/>
    <n v="4"/>
    <x v="0"/>
    <x v="7"/>
  </r>
  <r>
    <n v="547"/>
    <x v="150"/>
    <x v="546"/>
    <x v="0"/>
    <x v="7"/>
    <x v="1"/>
    <n v="4"/>
    <x v="1"/>
    <x v="11"/>
  </r>
  <r>
    <n v="548"/>
    <x v="55"/>
    <x v="547"/>
    <x v="1"/>
    <x v="25"/>
    <x v="1"/>
    <n v="2"/>
    <x v="2"/>
    <x v="17"/>
  </r>
  <r>
    <n v="549"/>
    <x v="279"/>
    <x v="548"/>
    <x v="1"/>
    <x v="2"/>
    <x v="0"/>
    <n v="2"/>
    <x v="0"/>
    <x v="4"/>
  </r>
  <r>
    <n v="550"/>
    <x v="274"/>
    <x v="549"/>
    <x v="0"/>
    <x v="30"/>
    <x v="1"/>
    <n v="3"/>
    <x v="4"/>
    <x v="12"/>
  </r>
  <r>
    <n v="551"/>
    <x v="37"/>
    <x v="550"/>
    <x v="0"/>
    <x v="5"/>
    <x v="2"/>
    <n v="3"/>
    <x v="4"/>
    <x v="12"/>
  </r>
  <r>
    <n v="552"/>
    <x v="8"/>
    <x v="551"/>
    <x v="1"/>
    <x v="19"/>
    <x v="2"/>
    <n v="3"/>
    <x v="3"/>
    <x v="8"/>
  </r>
  <r>
    <n v="553"/>
    <x v="280"/>
    <x v="552"/>
    <x v="0"/>
    <x v="46"/>
    <x v="1"/>
    <n v="4"/>
    <x v="4"/>
    <x v="14"/>
  </r>
  <r>
    <n v="554"/>
    <x v="281"/>
    <x v="553"/>
    <x v="1"/>
    <x v="6"/>
    <x v="0"/>
    <n v="3"/>
    <x v="0"/>
    <x v="0"/>
  </r>
  <r>
    <n v="555"/>
    <x v="218"/>
    <x v="554"/>
    <x v="0"/>
    <x v="36"/>
    <x v="0"/>
    <n v="1"/>
    <x v="4"/>
    <x v="13"/>
  </r>
  <r>
    <n v="556"/>
    <x v="234"/>
    <x v="555"/>
    <x v="1"/>
    <x v="18"/>
    <x v="2"/>
    <n v="1"/>
    <x v="0"/>
    <x v="5"/>
  </r>
  <r>
    <n v="557"/>
    <x v="282"/>
    <x v="556"/>
    <x v="1"/>
    <x v="29"/>
    <x v="0"/>
    <n v="3"/>
    <x v="2"/>
    <x v="15"/>
  </r>
  <r>
    <n v="558"/>
    <x v="283"/>
    <x v="557"/>
    <x v="1"/>
    <x v="41"/>
    <x v="1"/>
    <n v="1"/>
    <x v="3"/>
    <x v="16"/>
  </r>
  <r>
    <n v="559"/>
    <x v="137"/>
    <x v="558"/>
    <x v="1"/>
    <x v="30"/>
    <x v="1"/>
    <n v="4"/>
    <x v="4"/>
    <x v="14"/>
  </r>
  <r>
    <n v="560"/>
    <x v="284"/>
    <x v="559"/>
    <x v="1"/>
    <x v="36"/>
    <x v="2"/>
    <n v="1"/>
    <x v="0"/>
    <x v="5"/>
  </r>
  <r>
    <n v="561"/>
    <x v="203"/>
    <x v="560"/>
    <x v="1"/>
    <x v="12"/>
    <x v="1"/>
    <n v="4"/>
    <x v="1"/>
    <x v="11"/>
  </r>
  <r>
    <n v="562"/>
    <x v="69"/>
    <x v="561"/>
    <x v="0"/>
    <x v="31"/>
    <x v="2"/>
    <n v="2"/>
    <x v="3"/>
    <x v="5"/>
  </r>
  <r>
    <n v="563"/>
    <x v="183"/>
    <x v="562"/>
    <x v="0"/>
    <x v="29"/>
    <x v="1"/>
    <n v="2"/>
    <x v="2"/>
    <x v="17"/>
  </r>
  <r>
    <n v="564"/>
    <x v="208"/>
    <x v="563"/>
    <x v="0"/>
    <x v="2"/>
    <x v="2"/>
    <n v="2"/>
    <x v="0"/>
    <x v="4"/>
  </r>
  <r>
    <n v="565"/>
    <x v="155"/>
    <x v="564"/>
    <x v="1"/>
    <x v="5"/>
    <x v="0"/>
    <n v="2"/>
    <x v="2"/>
    <x v="17"/>
  </r>
  <r>
    <n v="566"/>
    <x v="92"/>
    <x v="565"/>
    <x v="1"/>
    <x v="12"/>
    <x v="1"/>
    <n v="1"/>
    <x v="2"/>
    <x v="2"/>
  </r>
  <r>
    <n v="567"/>
    <x v="285"/>
    <x v="566"/>
    <x v="1"/>
    <x v="36"/>
    <x v="1"/>
    <n v="3"/>
    <x v="4"/>
    <x v="12"/>
  </r>
  <r>
    <n v="568"/>
    <x v="286"/>
    <x v="567"/>
    <x v="1"/>
    <x v="25"/>
    <x v="2"/>
    <n v="1"/>
    <x v="4"/>
    <x v="13"/>
  </r>
  <r>
    <n v="569"/>
    <x v="196"/>
    <x v="568"/>
    <x v="0"/>
    <x v="8"/>
    <x v="2"/>
    <n v="4"/>
    <x v="0"/>
    <x v="7"/>
  </r>
  <r>
    <n v="570"/>
    <x v="196"/>
    <x v="569"/>
    <x v="0"/>
    <x v="19"/>
    <x v="1"/>
    <n v="1"/>
    <x v="1"/>
    <x v="3"/>
  </r>
  <r>
    <n v="571"/>
    <x v="216"/>
    <x v="570"/>
    <x v="1"/>
    <x v="41"/>
    <x v="2"/>
    <n v="1"/>
    <x v="0"/>
    <x v="5"/>
  </r>
  <r>
    <n v="572"/>
    <x v="175"/>
    <x v="571"/>
    <x v="0"/>
    <x v="33"/>
    <x v="1"/>
    <n v="4"/>
    <x v="1"/>
    <x v="11"/>
  </r>
  <r>
    <n v="573"/>
    <x v="270"/>
    <x v="572"/>
    <x v="0"/>
    <x v="19"/>
    <x v="0"/>
    <n v="2"/>
    <x v="2"/>
    <x v="17"/>
  </r>
  <r>
    <n v="574"/>
    <x v="178"/>
    <x v="573"/>
    <x v="1"/>
    <x v="7"/>
    <x v="2"/>
    <n v="2"/>
    <x v="3"/>
    <x v="5"/>
  </r>
  <r>
    <n v="575"/>
    <x v="287"/>
    <x v="574"/>
    <x v="0"/>
    <x v="43"/>
    <x v="1"/>
    <n v="2"/>
    <x v="0"/>
    <x v="4"/>
  </r>
  <r>
    <n v="576"/>
    <x v="151"/>
    <x v="575"/>
    <x v="1"/>
    <x v="44"/>
    <x v="0"/>
    <n v="3"/>
    <x v="0"/>
    <x v="0"/>
  </r>
  <r>
    <n v="577"/>
    <x v="146"/>
    <x v="576"/>
    <x v="0"/>
    <x v="34"/>
    <x v="0"/>
    <n v="4"/>
    <x v="1"/>
    <x v="11"/>
  </r>
  <r>
    <n v="578"/>
    <x v="232"/>
    <x v="577"/>
    <x v="1"/>
    <x v="31"/>
    <x v="1"/>
    <n v="4"/>
    <x v="2"/>
    <x v="10"/>
  </r>
  <r>
    <n v="579"/>
    <x v="172"/>
    <x v="578"/>
    <x v="1"/>
    <x v="21"/>
    <x v="2"/>
    <n v="1"/>
    <x v="2"/>
    <x v="2"/>
  </r>
  <r>
    <n v="580"/>
    <x v="237"/>
    <x v="579"/>
    <x v="1"/>
    <x v="33"/>
    <x v="1"/>
    <n v="3"/>
    <x v="1"/>
    <x v="9"/>
  </r>
  <r>
    <n v="581"/>
    <x v="245"/>
    <x v="580"/>
    <x v="1"/>
    <x v="27"/>
    <x v="0"/>
    <n v="2"/>
    <x v="2"/>
    <x v="17"/>
  </r>
  <r>
    <n v="582"/>
    <x v="220"/>
    <x v="581"/>
    <x v="0"/>
    <x v="10"/>
    <x v="1"/>
    <n v="3"/>
    <x v="4"/>
    <x v="12"/>
  </r>
  <r>
    <n v="583"/>
    <x v="288"/>
    <x v="582"/>
    <x v="1"/>
    <x v="46"/>
    <x v="2"/>
    <n v="4"/>
    <x v="3"/>
    <x v="4"/>
  </r>
  <r>
    <n v="584"/>
    <x v="15"/>
    <x v="583"/>
    <x v="1"/>
    <x v="15"/>
    <x v="0"/>
    <n v="4"/>
    <x v="0"/>
    <x v="7"/>
  </r>
  <r>
    <n v="585"/>
    <x v="217"/>
    <x v="584"/>
    <x v="1"/>
    <x v="46"/>
    <x v="1"/>
    <n v="1"/>
    <x v="3"/>
    <x v="16"/>
  </r>
  <r>
    <n v="586"/>
    <x v="186"/>
    <x v="585"/>
    <x v="0"/>
    <x v="2"/>
    <x v="2"/>
    <n v="1"/>
    <x v="0"/>
    <x v="5"/>
  </r>
  <r>
    <n v="587"/>
    <x v="276"/>
    <x v="586"/>
    <x v="1"/>
    <x v="30"/>
    <x v="0"/>
    <n v="4"/>
    <x v="4"/>
    <x v="14"/>
  </r>
  <r>
    <n v="588"/>
    <x v="164"/>
    <x v="587"/>
    <x v="0"/>
    <x v="21"/>
    <x v="2"/>
    <n v="2"/>
    <x v="2"/>
    <x v="17"/>
  </r>
  <r>
    <n v="589"/>
    <x v="22"/>
    <x v="588"/>
    <x v="1"/>
    <x v="32"/>
    <x v="0"/>
    <n v="2"/>
    <x v="1"/>
    <x v="1"/>
  </r>
  <r>
    <n v="590"/>
    <x v="255"/>
    <x v="589"/>
    <x v="0"/>
    <x v="32"/>
    <x v="1"/>
    <n v="3"/>
    <x v="4"/>
    <x v="12"/>
  </r>
  <r>
    <n v="591"/>
    <x v="2"/>
    <x v="590"/>
    <x v="0"/>
    <x v="45"/>
    <x v="2"/>
    <n v="4"/>
    <x v="3"/>
    <x v="4"/>
  </r>
  <r>
    <n v="592"/>
    <x v="58"/>
    <x v="591"/>
    <x v="1"/>
    <x v="6"/>
    <x v="0"/>
    <n v="4"/>
    <x v="1"/>
    <x v="11"/>
  </r>
  <r>
    <n v="593"/>
    <x v="4"/>
    <x v="592"/>
    <x v="0"/>
    <x v="10"/>
    <x v="2"/>
    <n v="2"/>
    <x v="2"/>
    <x v="17"/>
  </r>
  <r>
    <n v="594"/>
    <x v="152"/>
    <x v="593"/>
    <x v="1"/>
    <x v="14"/>
    <x v="2"/>
    <n v="2"/>
    <x v="4"/>
    <x v="6"/>
  </r>
  <r>
    <n v="595"/>
    <x v="289"/>
    <x v="594"/>
    <x v="1"/>
    <x v="18"/>
    <x v="1"/>
    <n v="4"/>
    <x v="1"/>
    <x v="11"/>
  </r>
  <r>
    <n v="596"/>
    <x v="227"/>
    <x v="595"/>
    <x v="1"/>
    <x v="12"/>
    <x v="2"/>
    <n v="1"/>
    <x v="4"/>
    <x v="13"/>
  </r>
  <r>
    <n v="597"/>
    <x v="290"/>
    <x v="596"/>
    <x v="0"/>
    <x v="11"/>
    <x v="0"/>
    <n v="4"/>
    <x v="4"/>
    <x v="14"/>
  </r>
  <r>
    <n v="598"/>
    <x v="291"/>
    <x v="597"/>
    <x v="0"/>
    <x v="3"/>
    <x v="0"/>
    <n v="4"/>
    <x v="2"/>
    <x v="10"/>
  </r>
  <r>
    <n v="599"/>
    <x v="292"/>
    <x v="598"/>
    <x v="1"/>
    <x v="20"/>
    <x v="0"/>
    <n v="2"/>
    <x v="0"/>
    <x v="4"/>
  </r>
  <r>
    <n v="600"/>
    <x v="293"/>
    <x v="599"/>
    <x v="1"/>
    <x v="42"/>
    <x v="0"/>
    <n v="2"/>
    <x v="1"/>
    <x v="1"/>
  </r>
  <r>
    <n v="601"/>
    <x v="294"/>
    <x v="600"/>
    <x v="0"/>
    <x v="14"/>
    <x v="1"/>
    <n v="1"/>
    <x v="2"/>
    <x v="2"/>
  </r>
  <r>
    <n v="602"/>
    <x v="204"/>
    <x v="601"/>
    <x v="1"/>
    <x v="29"/>
    <x v="2"/>
    <n v="1"/>
    <x v="4"/>
    <x v="13"/>
  </r>
  <r>
    <n v="603"/>
    <x v="295"/>
    <x v="602"/>
    <x v="1"/>
    <x v="30"/>
    <x v="1"/>
    <n v="3"/>
    <x v="2"/>
    <x v="15"/>
  </r>
  <r>
    <n v="604"/>
    <x v="296"/>
    <x v="603"/>
    <x v="1"/>
    <x v="38"/>
    <x v="2"/>
    <n v="4"/>
    <x v="0"/>
    <x v="7"/>
  </r>
  <r>
    <n v="605"/>
    <x v="104"/>
    <x v="604"/>
    <x v="0"/>
    <x v="3"/>
    <x v="2"/>
    <n v="2"/>
    <x v="1"/>
    <x v="1"/>
  </r>
  <r>
    <n v="606"/>
    <x v="179"/>
    <x v="605"/>
    <x v="0"/>
    <x v="11"/>
    <x v="2"/>
    <n v="1"/>
    <x v="0"/>
    <x v="5"/>
  </r>
  <r>
    <n v="607"/>
    <x v="255"/>
    <x v="606"/>
    <x v="0"/>
    <x v="31"/>
    <x v="1"/>
    <n v="3"/>
    <x v="3"/>
    <x v="8"/>
  </r>
  <r>
    <n v="608"/>
    <x v="92"/>
    <x v="607"/>
    <x v="1"/>
    <x v="28"/>
    <x v="2"/>
    <n v="3"/>
    <x v="1"/>
    <x v="9"/>
  </r>
  <r>
    <n v="609"/>
    <x v="80"/>
    <x v="608"/>
    <x v="1"/>
    <x v="16"/>
    <x v="1"/>
    <n v="2"/>
    <x v="0"/>
    <x v="4"/>
  </r>
  <r>
    <n v="610"/>
    <x v="297"/>
    <x v="609"/>
    <x v="1"/>
    <x v="1"/>
    <x v="0"/>
    <n v="2"/>
    <x v="4"/>
    <x v="6"/>
  </r>
  <r>
    <n v="611"/>
    <x v="130"/>
    <x v="610"/>
    <x v="0"/>
    <x v="25"/>
    <x v="0"/>
    <n v="3"/>
    <x v="1"/>
    <x v="9"/>
  </r>
  <r>
    <n v="612"/>
    <x v="298"/>
    <x v="611"/>
    <x v="1"/>
    <x v="39"/>
    <x v="2"/>
    <n v="1"/>
    <x v="1"/>
    <x v="3"/>
  </r>
  <r>
    <n v="613"/>
    <x v="26"/>
    <x v="612"/>
    <x v="1"/>
    <x v="8"/>
    <x v="1"/>
    <n v="3"/>
    <x v="2"/>
    <x v="15"/>
  </r>
  <r>
    <n v="614"/>
    <x v="258"/>
    <x v="613"/>
    <x v="1"/>
    <x v="23"/>
    <x v="0"/>
    <n v="4"/>
    <x v="4"/>
    <x v="14"/>
  </r>
  <r>
    <n v="615"/>
    <x v="204"/>
    <x v="614"/>
    <x v="1"/>
    <x v="39"/>
    <x v="1"/>
    <n v="4"/>
    <x v="3"/>
    <x v="4"/>
  </r>
  <r>
    <n v="616"/>
    <x v="299"/>
    <x v="615"/>
    <x v="0"/>
    <x v="41"/>
    <x v="1"/>
    <n v="2"/>
    <x v="0"/>
    <x v="4"/>
  </r>
  <r>
    <n v="617"/>
    <x v="300"/>
    <x v="616"/>
    <x v="0"/>
    <x v="0"/>
    <x v="2"/>
    <n v="1"/>
    <x v="2"/>
    <x v="2"/>
  </r>
  <r>
    <n v="618"/>
    <x v="197"/>
    <x v="617"/>
    <x v="1"/>
    <x v="15"/>
    <x v="0"/>
    <n v="1"/>
    <x v="0"/>
    <x v="5"/>
  </r>
  <r>
    <n v="619"/>
    <x v="81"/>
    <x v="618"/>
    <x v="0"/>
    <x v="16"/>
    <x v="2"/>
    <n v="4"/>
    <x v="3"/>
    <x v="4"/>
  </r>
  <r>
    <n v="620"/>
    <x v="193"/>
    <x v="619"/>
    <x v="0"/>
    <x v="7"/>
    <x v="2"/>
    <n v="3"/>
    <x v="3"/>
    <x v="8"/>
  </r>
  <r>
    <n v="621"/>
    <x v="301"/>
    <x v="620"/>
    <x v="1"/>
    <x v="30"/>
    <x v="0"/>
    <n v="2"/>
    <x v="1"/>
    <x v="1"/>
  </r>
  <r>
    <n v="622"/>
    <x v="290"/>
    <x v="621"/>
    <x v="1"/>
    <x v="19"/>
    <x v="0"/>
    <n v="3"/>
    <x v="3"/>
    <x v="8"/>
  </r>
  <r>
    <n v="623"/>
    <x v="239"/>
    <x v="622"/>
    <x v="0"/>
    <x v="0"/>
    <x v="1"/>
    <n v="3"/>
    <x v="0"/>
    <x v="0"/>
  </r>
  <r>
    <n v="624"/>
    <x v="300"/>
    <x v="623"/>
    <x v="1"/>
    <x v="0"/>
    <x v="0"/>
    <n v="3"/>
    <x v="4"/>
    <x v="12"/>
  </r>
  <r>
    <n v="625"/>
    <x v="236"/>
    <x v="624"/>
    <x v="0"/>
    <x v="33"/>
    <x v="1"/>
    <n v="1"/>
    <x v="4"/>
    <x v="13"/>
  </r>
  <r>
    <n v="626"/>
    <x v="136"/>
    <x v="625"/>
    <x v="1"/>
    <x v="1"/>
    <x v="1"/>
    <n v="4"/>
    <x v="1"/>
    <x v="11"/>
  </r>
  <r>
    <n v="627"/>
    <x v="257"/>
    <x v="626"/>
    <x v="0"/>
    <x v="35"/>
    <x v="1"/>
    <n v="1"/>
    <x v="0"/>
    <x v="5"/>
  </r>
  <r>
    <n v="628"/>
    <x v="215"/>
    <x v="627"/>
    <x v="1"/>
    <x v="14"/>
    <x v="0"/>
    <n v="4"/>
    <x v="0"/>
    <x v="7"/>
  </r>
  <r>
    <n v="629"/>
    <x v="302"/>
    <x v="628"/>
    <x v="0"/>
    <x v="17"/>
    <x v="2"/>
    <n v="2"/>
    <x v="3"/>
    <x v="5"/>
  </r>
  <r>
    <n v="630"/>
    <x v="196"/>
    <x v="629"/>
    <x v="0"/>
    <x v="13"/>
    <x v="1"/>
    <n v="2"/>
    <x v="0"/>
    <x v="4"/>
  </r>
  <r>
    <n v="631"/>
    <x v="235"/>
    <x v="630"/>
    <x v="0"/>
    <x v="37"/>
    <x v="2"/>
    <n v="3"/>
    <x v="2"/>
    <x v="15"/>
  </r>
  <r>
    <n v="632"/>
    <x v="18"/>
    <x v="631"/>
    <x v="1"/>
    <x v="1"/>
    <x v="2"/>
    <n v="4"/>
    <x v="3"/>
    <x v="4"/>
  </r>
  <r>
    <n v="633"/>
    <x v="252"/>
    <x v="632"/>
    <x v="0"/>
    <x v="23"/>
    <x v="0"/>
    <n v="4"/>
    <x v="2"/>
    <x v="10"/>
  </r>
  <r>
    <n v="634"/>
    <x v="283"/>
    <x v="633"/>
    <x v="0"/>
    <x v="43"/>
    <x v="2"/>
    <n v="4"/>
    <x v="1"/>
    <x v="11"/>
  </r>
  <r>
    <n v="635"/>
    <x v="303"/>
    <x v="634"/>
    <x v="1"/>
    <x v="7"/>
    <x v="2"/>
    <n v="3"/>
    <x v="4"/>
    <x v="12"/>
  </r>
  <r>
    <n v="636"/>
    <x v="31"/>
    <x v="635"/>
    <x v="1"/>
    <x v="34"/>
    <x v="0"/>
    <n v="3"/>
    <x v="1"/>
    <x v="9"/>
  </r>
  <r>
    <n v="637"/>
    <x v="152"/>
    <x v="636"/>
    <x v="0"/>
    <x v="22"/>
    <x v="1"/>
    <n v="2"/>
    <x v="4"/>
    <x v="6"/>
  </r>
  <r>
    <n v="638"/>
    <x v="304"/>
    <x v="637"/>
    <x v="0"/>
    <x v="6"/>
    <x v="2"/>
    <n v="1"/>
    <x v="1"/>
    <x v="3"/>
  </r>
  <r>
    <n v="639"/>
    <x v="305"/>
    <x v="638"/>
    <x v="1"/>
    <x v="17"/>
    <x v="0"/>
    <n v="4"/>
    <x v="0"/>
    <x v="7"/>
  </r>
  <r>
    <n v="640"/>
    <x v="98"/>
    <x v="639"/>
    <x v="1"/>
    <x v="25"/>
    <x v="2"/>
    <n v="4"/>
    <x v="2"/>
    <x v="10"/>
  </r>
  <r>
    <n v="641"/>
    <x v="250"/>
    <x v="640"/>
    <x v="1"/>
    <x v="30"/>
    <x v="2"/>
    <n v="1"/>
    <x v="4"/>
    <x v="13"/>
  </r>
  <r>
    <n v="642"/>
    <x v="247"/>
    <x v="641"/>
    <x v="1"/>
    <x v="31"/>
    <x v="1"/>
    <n v="4"/>
    <x v="3"/>
    <x v="4"/>
  </r>
  <r>
    <n v="643"/>
    <x v="272"/>
    <x v="642"/>
    <x v="1"/>
    <x v="20"/>
    <x v="2"/>
    <n v="3"/>
    <x v="2"/>
    <x v="15"/>
  </r>
  <r>
    <n v="644"/>
    <x v="147"/>
    <x v="643"/>
    <x v="0"/>
    <x v="9"/>
    <x v="0"/>
    <n v="3"/>
    <x v="3"/>
    <x v="8"/>
  </r>
  <r>
    <n v="645"/>
    <x v="131"/>
    <x v="644"/>
    <x v="1"/>
    <x v="10"/>
    <x v="2"/>
    <n v="4"/>
    <x v="2"/>
    <x v="10"/>
  </r>
  <r>
    <n v="646"/>
    <x v="143"/>
    <x v="645"/>
    <x v="0"/>
    <x v="21"/>
    <x v="1"/>
    <n v="3"/>
    <x v="2"/>
    <x v="15"/>
  </r>
  <r>
    <n v="647"/>
    <x v="3"/>
    <x v="646"/>
    <x v="0"/>
    <x v="42"/>
    <x v="1"/>
    <n v="3"/>
    <x v="1"/>
    <x v="9"/>
  </r>
  <r>
    <n v="648"/>
    <x v="306"/>
    <x v="647"/>
    <x v="0"/>
    <x v="45"/>
    <x v="0"/>
    <n v="4"/>
    <x v="4"/>
    <x v="14"/>
  </r>
  <r>
    <n v="649"/>
    <x v="307"/>
    <x v="648"/>
    <x v="1"/>
    <x v="26"/>
    <x v="1"/>
    <n v="2"/>
    <x v="4"/>
    <x v="6"/>
  </r>
  <r>
    <n v="650"/>
    <x v="158"/>
    <x v="649"/>
    <x v="0"/>
    <x v="28"/>
    <x v="2"/>
    <n v="1"/>
    <x v="2"/>
    <x v="2"/>
  </r>
  <r>
    <n v="651"/>
    <x v="203"/>
    <x v="650"/>
    <x v="0"/>
    <x v="25"/>
    <x v="1"/>
    <n v="3"/>
    <x v="0"/>
    <x v="0"/>
  </r>
  <r>
    <n v="652"/>
    <x v="217"/>
    <x v="651"/>
    <x v="1"/>
    <x v="0"/>
    <x v="0"/>
    <n v="2"/>
    <x v="0"/>
    <x v="4"/>
  </r>
  <r>
    <n v="653"/>
    <x v="241"/>
    <x v="652"/>
    <x v="0"/>
    <x v="31"/>
    <x v="1"/>
    <n v="3"/>
    <x v="3"/>
    <x v="8"/>
  </r>
  <r>
    <n v="654"/>
    <x v="288"/>
    <x v="653"/>
    <x v="0"/>
    <x v="13"/>
    <x v="1"/>
    <n v="3"/>
    <x v="3"/>
    <x v="8"/>
  </r>
  <r>
    <n v="655"/>
    <x v="308"/>
    <x v="654"/>
    <x v="1"/>
    <x v="28"/>
    <x v="1"/>
    <n v="1"/>
    <x v="1"/>
    <x v="3"/>
  </r>
  <r>
    <n v="656"/>
    <x v="135"/>
    <x v="655"/>
    <x v="0"/>
    <x v="38"/>
    <x v="0"/>
    <n v="3"/>
    <x v="2"/>
    <x v="15"/>
  </r>
  <r>
    <n v="657"/>
    <x v="213"/>
    <x v="656"/>
    <x v="0"/>
    <x v="30"/>
    <x v="1"/>
    <n v="1"/>
    <x v="3"/>
    <x v="16"/>
  </r>
  <r>
    <n v="658"/>
    <x v="105"/>
    <x v="657"/>
    <x v="0"/>
    <x v="42"/>
    <x v="1"/>
    <n v="1"/>
    <x v="3"/>
    <x v="16"/>
  </r>
  <r>
    <n v="659"/>
    <x v="309"/>
    <x v="658"/>
    <x v="1"/>
    <x v="23"/>
    <x v="2"/>
    <n v="1"/>
    <x v="2"/>
    <x v="2"/>
  </r>
  <r>
    <n v="660"/>
    <x v="310"/>
    <x v="659"/>
    <x v="1"/>
    <x v="21"/>
    <x v="0"/>
    <n v="2"/>
    <x v="1"/>
    <x v="1"/>
  </r>
  <r>
    <n v="661"/>
    <x v="295"/>
    <x v="660"/>
    <x v="1"/>
    <x v="24"/>
    <x v="1"/>
    <n v="4"/>
    <x v="3"/>
    <x v="4"/>
  </r>
  <r>
    <n v="662"/>
    <x v="311"/>
    <x v="661"/>
    <x v="0"/>
    <x v="27"/>
    <x v="0"/>
    <n v="2"/>
    <x v="1"/>
    <x v="1"/>
  </r>
  <r>
    <n v="663"/>
    <x v="111"/>
    <x v="662"/>
    <x v="0"/>
    <x v="9"/>
    <x v="1"/>
    <n v="4"/>
    <x v="4"/>
    <x v="14"/>
  </r>
  <r>
    <n v="664"/>
    <x v="251"/>
    <x v="663"/>
    <x v="1"/>
    <x v="24"/>
    <x v="1"/>
    <n v="4"/>
    <x v="1"/>
    <x v="11"/>
  </r>
  <r>
    <n v="665"/>
    <x v="175"/>
    <x v="664"/>
    <x v="0"/>
    <x v="35"/>
    <x v="1"/>
    <n v="1"/>
    <x v="0"/>
    <x v="5"/>
  </r>
  <r>
    <n v="666"/>
    <x v="114"/>
    <x v="665"/>
    <x v="0"/>
    <x v="25"/>
    <x v="2"/>
    <n v="3"/>
    <x v="0"/>
    <x v="0"/>
  </r>
  <r>
    <n v="667"/>
    <x v="291"/>
    <x v="666"/>
    <x v="1"/>
    <x v="38"/>
    <x v="2"/>
    <n v="1"/>
    <x v="1"/>
    <x v="3"/>
  </r>
  <r>
    <n v="668"/>
    <x v="180"/>
    <x v="667"/>
    <x v="1"/>
    <x v="17"/>
    <x v="2"/>
    <n v="3"/>
    <x v="0"/>
    <x v="0"/>
  </r>
  <r>
    <n v="669"/>
    <x v="171"/>
    <x v="668"/>
    <x v="0"/>
    <x v="46"/>
    <x v="0"/>
    <n v="4"/>
    <x v="4"/>
    <x v="14"/>
  </r>
  <r>
    <n v="670"/>
    <x v="209"/>
    <x v="669"/>
    <x v="0"/>
    <x v="15"/>
    <x v="0"/>
    <n v="1"/>
    <x v="2"/>
    <x v="2"/>
  </r>
  <r>
    <n v="671"/>
    <x v="286"/>
    <x v="670"/>
    <x v="0"/>
    <x v="17"/>
    <x v="2"/>
    <n v="3"/>
    <x v="0"/>
    <x v="0"/>
  </r>
  <r>
    <n v="672"/>
    <x v="291"/>
    <x v="671"/>
    <x v="1"/>
    <x v="0"/>
    <x v="0"/>
    <n v="2"/>
    <x v="0"/>
    <x v="4"/>
  </r>
  <r>
    <n v="673"/>
    <x v="190"/>
    <x v="672"/>
    <x v="1"/>
    <x v="22"/>
    <x v="1"/>
    <n v="3"/>
    <x v="1"/>
    <x v="9"/>
  </r>
  <r>
    <n v="674"/>
    <x v="312"/>
    <x v="673"/>
    <x v="1"/>
    <x v="21"/>
    <x v="1"/>
    <n v="1"/>
    <x v="4"/>
    <x v="13"/>
  </r>
  <r>
    <n v="675"/>
    <x v="279"/>
    <x v="674"/>
    <x v="1"/>
    <x v="5"/>
    <x v="1"/>
    <n v="2"/>
    <x v="2"/>
    <x v="17"/>
  </r>
  <r>
    <n v="676"/>
    <x v="202"/>
    <x v="675"/>
    <x v="0"/>
    <x v="7"/>
    <x v="2"/>
    <n v="3"/>
    <x v="1"/>
    <x v="9"/>
  </r>
  <r>
    <n v="677"/>
    <x v="101"/>
    <x v="676"/>
    <x v="1"/>
    <x v="14"/>
    <x v="0"/>
    <n v="3"/>
    <x v="1"/>
    <x v="9"/>
  </r>
  <r>
    <n v="678"/>
    <x v="204"/>
    <x v="677"/>
    <x v="1"/>
    <x v="43"/>
    <x v="2"/>
    <n v="3"/>
    <x v="4"/>
    <x v="12"/>
  </r>
  <r>
    <n v="679"/>
    <x v="166"/>
    <x v="678"/>
    <x v="1"/>
    <x v="18"/>
    <x v="0"/>
    <n v="3"/>
    <x v="2"/>
    <x v="15"/>
  </r>
  <r>
    <n v="680"/>
    <x v="293"/>
    <x v="679"/>
    <x v="1"/>
    <x v="45"/>
    <x v="1"/>
    <n v="3"/>
    <x v="4"/>
    <x v="12"/>
  </r>
  <r>
    <n v="681"/>
    <x v="37"/>
    <x v="680"/>
    <x v="1"/>
    <x v="22"/>
    <x v="2"/>
    <n v="2"/>
    <x v="2"/>
    <x v="17"/>
  </r>
  <r>
    <n v="682"/>
    <x v="211"/>
    <x v="681"/>
    <x v="0"/>
    <x v="6"/>
    <x v="0"/>
    <n v="4"/>
    <x v="4"/>
    <x v="14"/>
  </r>
  <r>
    <n v="683"/>
    <x v="30"/>
    <x v="682"/>
    <x v="0"/>
    <x v="21"/>
    <x v="0"/>
    <n v="2"/>
    <x v="1"/>
    <x v="1"/>
  </r>
  <r>
    <n v="684"/>
    <x v="313"/>
    <x v="683"/>
    <x v="1"/>
    <x v="20"/>
    <x v="1"/>
    <n v="2"/>
    <x v="1"/>
    <x v="1"/>
  </r>
  <r>
    <n v="685"/>
    <x v="132"/>
    <x v="684"/>
    <x v="0"/>
    <x v="35"/>
    <x v="2"/>
    <n v="2"/>
    <x v="3"/>
    <x v="5"/>
  </r>
  <r>
    <n v="686"/>
    <x v="202"/>
    <x v="685"/>
    <x v="1"/>
    <x v="20"/>
    <x v="2"/>
    <n v="4"/>
    <x v="0"/>
    <x v="7"/>
  </r>
  <r>
    <n v="687"/>
    <x v="25"/>
    <x v="686"/>
    <x v="1"/>
    <x v="45"/>
    <x v="2"/>
    <n v="1"/>
    <x v="4"/>
    <x v="13"/>
  </r>
  <r>
    <n v="688"/>
    <x v="99"/>
    <x v="687"/>
    <x v="0"/>
    <x v="37"/>
    <x v="1"/>
    <n v="4"/>
    <x v="3"/>
    <x v="4"/>
  </r>
  <r>
    <n v="689"/>
    <x v="9"/>
    <x v="688"/>
    <x v="0"/>
    <x v="35"/>
    <x v="2"/>
    <n v="2"/>
    <x v="0"/>
    <x v="4"/>
  </r>
  <r>
    <n v="690"/>
    <x v="19"/>
    <x v="689"/>
    <x v="1"/>
    <x v="8"/>
    <x v="1"/>
    <n v="3"/>
    <x v="4"/>
    <x v="12"/>
  </r>
  <r>
    <n v="691"/>
    <x v="26"/>
    <x v="690"/>
    <x v="1"/>
    <x v="25"/>
    <x v="1"/>
    <n v="3"/>
    <x v="2"/>
    <x v="15"/>
  </r>
  <r>
    <n v="692"/>
    <x v="206"/>
    <x v="691"/>
    <x v="1"/>
    <x v="12"/>
    <x v="1"/>
    <n v="2"/>
    <x v="0"/>
    <x v="4"/>
  </r>
  <r>
    <n v="693"/>
    <x v="26"/>
    <x v="692"/>
    <x v="0"/>
    <x v="41"/>
    <x v="0"/>
    <n v="3"/>
    <x v="1"/>
    <x v="9"/>
  </r>
  <r>
    <n v="694"/>
    <x v="241"/>
    <x v="693"/>
    <x v="1"/>
    <x v="23"/>
    <x v="2"/>
    <n v="2"/>
    <x v="3"/>
    <x v="5"/>
  </r>
  <r>
    <n v="695"/>
    <x v="269"/>
    <x v="694"/>
    <x v="1"/>
    <x v="11"/>
    <x v="2"/>
    <n v="3"/>
    <x v="0"/>
    <x v="0"/>
  </r>
  <r>
    <n v="696"/>
    <x v="147"/>
    <x v="695"/>
    <x v="1"/>
    <x v="2"/>
    <x v="1"/>
    <n v="4"/>
    <x v="0"/>
    <x v="7"/>
  </r>
  <r>
    <n v="697"/>
    <x v="267"/>
    <x v="696"/>
    <x v="0"/>
    <x v="45"/>
    <x v="1"/>
    <n v="1"/>
    <x v="1"/>
    <x v="3"/>
  </r>
  <r>
    <n v="698"/>
    <x v="202"/>
    <x v="697"/>
    <x v="1"/>
    <x v="12"/>
    <x v="2"/>
    <n v="1"/>
    <x v="4"/>
    <x v="13"/>
  </r>
  <r>
    <n v="699"/>
    <x v="36"/>
    <x v="698"/>
    <x v="1"/>
    <x v="3"/>
    <x v="1"/>
    <n v="4"/>
    <x v="2"/>
    <x v="10"/>
  </r>
  <r>
    <n v="700"/>
    <x v="174"/>
    <x v="699"/>
    <x v="0"/>
    <x v="32"/>
    <x v="2"/>
    <n v="4"/>
    <x v="1"/>
    <x v="11"/>
  </r>
  <r>
    <n v="701"/>
    <x v="266"/>
    <x v="700"/>
    <x v="1"/>
    <x v="8"/>
    <x v="0"/>
    <n v="2"/>
    <x v="2"/>
    <x v="17"/>
  </r>
  <r>
    <n v="702"/>
    <x v="282"/>
    <x v="701"/>
    <x v="1"/>
    <x v="43"/>
    <x v="1"/>
    <n v="2"/>
    <x v="4"/>
    <x v="6"/>
  </r>
  <r>
    <n v="703"/>
    <x v="154"/>
    <x v="702"/>
    <x v="0"/>
    <x v="0"/>
    <x v="2"/>
    <n v="2"/>
    <x v="0"/>
    <x v="4"/>
  </r>
  <r>
    <n v="704"/>
    <x v="117"/>
    <x v="703"/>
    <x v="1"/>
    <x v="17"/>
    <x v="1"/>
    <n v="3"/>
    <x v="2"/>
    <x v="15"/>
  </r>
  <r>
    <n v="705"/>
    <x v="150"/>
    <x v="704"/>
    <x v="0"/>
    <x v="43"/>
    <x v="2"/>
    <n v="2"/>
    <x v="3"/>
    <x v="5"/>
  </r>
  <r>
    <n v="706"/>
    <x v="229"/>
    <x v="705"/>
    <x v="0"/>
    <x v="25"/>
    <x v="2"/>
    <n v="4"/>
    <x v="3"/>
    <x v="4"/>
  </r>
  <r>
    <n v="707"/>
    <x v="77"/>
    <x v="706"/>
    <x v="1"/>
    <x v="1"/>
    <x v="1"/>
    <n v="1"/>
    <x v="1"/>
    <x v="3"/>
  </r>
  <r>
    <n v="708"/>
    <x v="20"/>
    <x v="707"/>
    <x v="1"/>
    <x v="22"/>
    <x v="0"/>
    <n v="3"/>
    <x v="4"/>
    <x v="12"/>
  </r>
  <r>
    <n v="709"/>
    <x v="314"/>
    <x v="708"/>
    <x v="1"/>
    <x v="14"/>
    <x v="2"/>
    <n v="2"/>
    <x v="1"/>
    <x v="1"/>
  </r>
  <r>
    <n v="710"/>
    <x v="315"/>
    <x v="709"/>
    <x v="1"/>
    <x v="1"/>
    <x v="2"/>
    <n v="3"/>
    <x v="1"/>
    <x v="9"/>
  </r>
  <r>
    <n v="711"/>
    <x v="230"/>
    <x v="710"/>
    <x v="0"/>
    <x v="1"/>
    <x v="2"/>
    <n v="3"/>
    <x v="1"/>
    <x v="9"/>
  </r>
  <r>
    <n v="712"/>
    <x v="237"/>
    <x v="711"/>
    <x v="1"/>
    <x v="35"/>
    <x v="0"/>
    <n v="2"/>
    <x v="3"/>
    <x v="5"/>
  </r>
  <r>
    <n v="713"/>
    <x v="20"/>
    <x v="712"/>
    <x v="0"/>
    <x v="0"/>
    <x v="0"/>
    <n v="3"/>
    <x v="3"/>
    <x v="8"/>
  </r>
  <r>
    <n v="714"/>
    <x v="316"/>
    <x v="713"/>
    <x v="1"/>
    <x v="18"/>
    <x v="1"/>
    <n v="1"/>
    <x v="1"/>
    <x v="3"/>
  </r>
  <r>
    <n v="715"/>
    <x v="95"/>
    <x v="714"/>
    <x v="1"/>
    <x v="13"/>
    <x v="0"/>
    <n v="4"/>
    <x v="3"/>
    <x v="4"/>
  </r>
  <r>
    <n v="716"/>
    <x v="102"/>
    <x v="715"/>
    <x v="1"/>
    <x v="43"/>
    <x v="1"/>
    <n v="4"/>
    <x v="4"/>
    <x v="14"/>
  </r>
  <r>
    <n v="717"/>
    <x v="317"/>
    <x v="716"/>
    <x v="0"/>
    <x v="35"/>
    <x v="1"/>
    <n v="1"/>
    <x v="1"/>
    <x v="3"/>
  </r>
  <r>
    <n v="718"/>
    <x v="78"/>
    <x v="717"/>
    <x v="1"/>
    <x v="42"/>
    <x v="0"/>
    <n v="3"/>
    <x v="3"/>
    <x v="8"/>
  </r>
  <r>
    <n v="719"/>
    <x v="194"/>
    <x v="718"/>
    <x v="1"/>
    <x v="13"/>
    <x v="1"/>
    <n v="2"/>
    <x v="2"/>
    <x v="17"/>
  </r>
  <r>
    <n v="720"/>
    <x v="197"/>
    <x v="719"/>
    <x v="1"/>
    <x v="37"/>
    <x v="0"/>
    <n v="3"/>
    <x v="1"/>
    <x v="9"/>
  </r>
  <r>
    <n v="721"/>
    <x v="224"/>
    <x v="720"/>
    <x v="1"/>
    <x v="8"/>
    <x v="1"/>
    <n v="1"/>
    <x v="1"/>
    <x v="3"/>
  </r>
  <r>
    <n v="722"/>
    <x v="37"/>
    <x v="721"/>
    <x v="0"/>
    <x v="29"/>
    <x v="0"/>
    <n v="3"/>
    <x v="4"/>
    <x v="12"/>
  </r>
  <r>
    <n v="723"/>
    <x v="278"/>
    <x v="722"/>
    <x v="1"/>
    <x v="31"/>
    <x v="0"/>
    <n v="4"/>
    <x v="0"/>
    <x v="7"/>
  </r>
  <r>
    <n v="724"/>
    <x v="90"/>
    <x v="723"/>
    <x v="0"/>
    <x v="39"/>
    <x v="1"/>
    <n v="3"/>
    <x v="0"/>
    <x v="0"/>
  </r>
  <r>
    <n v="725"/>
    <x v="63"/>
    <x v="724"/>
    <x v="0"/>
    <x v="39"/>
    <x v="2"/>
    <n v="1"/>
    <x v="4"/>
    <x v="13"/>
  </r>
  <r>
    <n v="726"/>
    <x v="278"/>
    <x v="725"/>
    <x v="0"/>
    <x v="16"/>
    <x v="1"/>
    <n v="4"/>
    <x v="4"/>
    <x v="14"/>
  </r>
  <r>
    <n v="727"/>
    <x v="36"/>
    <x v="726"/>
    <x v="0"/>
    <x v="28"/>
    <x v="0"/>
    <n v="3"/>
    <x v="4"/>
    <x v="12"/>
  </r>
  <r>
    <n v="728"/>
    <x v="37"/>
    <x v="727"/>
    <x v="0"/>
    <x v="25"/>
    <x v="2"/>
    <n v="3"/>
    <x v="0"/>
    <x v="0"/>
  </r>
  <r>
    <n v="729"/>
    <x v="29"/>
    <x v="728"/>
    <x v="0"/>
    <x v="38"/>
    <x v="1"/>
    <n v="4"/>
    <x v="4"/>
    <x v="14"/>
  </r>
  <r>
    <n v="730"/>
    <x v="279"/>
    <x v="729"/>
    <x v="1"/>
    <x v="32"/>
    <x v="1"/>
    <n v="2"/>
    <x v="3"/>
    <x v="5"/>
  </r>
  <r>
    <n v="731"/>
    <x v="318"/>
    <x v="730"/>
    <x v="0"/>
    <x v="31"/>
    <x v="1"/>
    <n v="4"/>
    <x v="1"/>
    <x v="11"/>
  </r>
  <r>
    <n v="732"/>
    <x v="213"/>
    <x v="731"/>
    <x v="0"/>
    <x v="39"/>
    <x v="2"/>
    <n v="2"/>
    <x v="1"/>
    <x v="1"/>
  </r>
  <r>
    <n v="733"/>
    <x v="261"/>
    <x v="732"/>
    <x v="0"/>
    <x v="0"/>
    <x v="0"/>
    <n v="1"/>
    <x v="2"/>
    <x v="2"/>
  </r>
  <r>
    <n v="734"/>
    <x v="141"/>
    <x v="733"/>
    <x v="1"/>
    <x v="15"/>
    <x v="1"/>
    <n v="1"/>
    <x v="2"/>
    <x v="2"/>
  </r>
  <r>
    <n v="735"/>
    <x v="135"/>
    <x v="734"/>
    <x v="1"/>
    <x v="12"/>
    <x v="1"/>
    <n v="4"/>
    <x v="1"/>
    <x v="11"/>
  </r>
  <r>
    <n v="736"/>
    <x v="246"/>
    <x v="735"/>
    <x v="0"/>
    <x v="38"/>
    <x v="1"/>
    <n v="4"/>
    <x v="3"/>
    <x v="4"/>
  </r>
  <r>
    <n v="737"/>
    <x v="263"/>
    <x v="736"/>
    <x v="1"/>
    <x v="44"/>
    <x v="1"/>
    <n v="1"/>
    <x v="0"/>
    <x v="5"/>
  </r>
  <r>
    <n v="738"/>
    <x v="5"/>
    <x v="737"/>
    <x v="0"/>
    <x v="41"/>
    <x v="1"/>
    <n v="2"/>
    <x v="0"/>
    <x v="4"/>
  </r>
  <r>
    <n v="739"/>
    <x v="23"/>
    <x v="738"/>
    <x v="0"/>
    <x v="32"/>
    <x v="0"/>
    <n v="1"/>
    <x v="3"/>
    <x v="16"/>
  </r>
  <r>
    <n v="740"/>
    <x v="57"/>
    <x v="739"/>
    <x v="1"/>
    <x v="36"/>
    <x v="0"/>
    <n v="4"/>
    <x v="0"/>
    <x v="7"/>
  </r>
  <r>
    <n v="741"/>
    <x v="198"/>
    <x v="740"/>
    <x v="0"/>
    <x v="27"/>
    <x v="1"/>
    <n v="1"/>
    <x v="4"/>
    <x v="13"/>
  </r>
  <r>
    <n v="742"/>
    <x v="219"/>
    <x v="741"/>
    <x v="1"/>
    <x v="21"/>
    <x v="2"/>
    <n v="4"/>
    <x v="1"/>
    <x v="11"/>
  </r>
  <r>
    <n v="743"/>
    <x v="14"/>
    <x v="742"/>
    <x v="1"/>
    <x v="0"/>
    <x v="0"/>
    <n v="4"/>
    <x v="1"/>
    <x v="11"/>
  </r>
  <r>
    <n v="744"/>
    <x v="98"/>
    <x v="743"/>
    <x v="0"/>
    <x v="30"/>
    <x v="2"/>
    <n v="1"/>
    <x v="3"/>
    <x v="16"/>
  </r>
  <r>
    <n v="745"/>
    <x v="157"/>
    <x v="744"/>
    <x v="0"/>
    <x v="31"/>
    <x v="0"/>
    <n v="2"/>
    <x v="0"/>
    <x v="4"/>
  </r>
  <r>
    <n v="746"/>
    <x v="166"/>
    <x v="745"/>
    <x v="1"/>
    <x v="44"/>
    <x v="1"/>
    <n v="3"/>
    <x v="2"/>
    <x v="15"/>
  </r>
  <r>
    <n v="747"/>
    <x v="229"/>
    <x v="746"/>
    <x v="0"/>
    <x v="9"/>
    <x v="0"/>
    <n v="1"/>
    <x v="2"/>
    <x v="2"/>
  </r>
  <r>
    <n v="748"/>
    <x v="111"/>
    <x v="747"/>
    <x v="0"/>
    <x v="36"/>
    <x v="1"/>
    <n v="3"/>
    <x v="0"/>
    <x v="0"/>
  </r>
  <r>
    <n v="749"/>
    <x v="143"/>
    <x v="748"/>
    <x v="0"/>
    <x v="13"/>
    <x v="0"/>
    <n v="1"/>
    <x v="2"/>
    <x v="2"/>
  </r>
  <r>
    <n v="750"/>
    <x v="149"/>
    <x v="749"/>
    <x v="1"/>
    <x v="10"/>
    <x v="1"/>
    <n v="3"/>
    <x v="3"/>
    <x v="8"/>
  </r>
  <r>
    <n v="751"/>
    <x v="178"/>
    <x v="750"/>
    <x v="1"/>
    <x v="13"/>
    <x v="1"/>
    <n v="2"/>
    <x v="3"/>
    <x v="5"/>
  </r>
  <r>
    <n v="752"/>
    <x v="174"/>
    <x v="751"/>
    <x v="0"/>
    <x v="38"/>
    <x v="1"/>
    <n v="2"/>
    <x v="0"/>
    <x v="4"/>
  </r>
  <r>
    <n v="753"/>
    <x v="122"/>
    <x v="752"/>
    <x v="1"/>
    <x v="40"/>
    <x v="1"/>
    <n v="1"/>
    <x v="2"/>
    <x v="2"/>
  </r>
  <r>
    <n v="754"/>
    <x v="230"/>
    <x v="753"/>
    <x v="1"/>
    <x v="22"/>
    <x v="2"/>
    <n v="4"/>
    <x v="3"/>
    <x v="4"/>
  </r>
  <r>
    <n v="755"/>
    <x v="16"/>
    <x v="754"/>
    <x v="1"/>
    <x v="26"/>
    <x v="1"/>
    <n v="3"/>
    <x v="3"/>
    <x v="8"/>
  </r>
  <r>
    <n v="756"/>
    <x v="286"/>
    <x v="755"/>
    <x v="1"/>
    <x v="17"/>
    <x v="2"/>
    <n v="4"/>
    <x v="4"/>
    <x v="14"/>
  </r>
  <r>
    <n v="757"/>
    <x v="319"/>
    <x v="756"/>
    <x v="1"/>
    <x v="22"/>
    <x v="2"/>
    <n v="4"/>
    <x v="4"/>
    <x v="14"/>
  </r>
  <r>
    <n v="758"/>
    <x v="320"/>
    <x v="757"/>
    <x v="0"/>
    <x v="12"/>
    <x v="1"/>
    <n v="4"/>
    <x v="3"/>
    <x v="4"/>
  </r>
  <r>
    <n v="759"/>
    <x v="321"/>
    <x v="758"/>
    <x v="0"/>
    <x v="19"/>
    <x v="2"/>
    <n v="2"/>
    <x v="0"/>
    <x v="4"/>
  </r>
  <r>
    <n v="760"/>
    <x v="200"/>
    <x v="759"/>
    <x v="0"/>
    <x v="15"/>
    <x v="0"/>
    <n v="1"/>
    <x v="1"/>
    <x v="3"/>
  </r>
  <r>
    <n v="761"/>
    <x v="155"/>
    <x v="760"/>
    <x v="1"/>
    <x v="44"/>
    <x v="1"/>
    <n v="1"/>
    <x v="1"/>
    <x v="3"/>
  </r>
  <r>
    <n v="762"/>
    <x v="155"/>
    <x v="761"/>
    <x v="1"/>
    <x v="46"/>
    <x v="2"/>
    <n v="2"/>
    <x v="3"/>
    <x v="5"/>
  </r>
  <r>
    <n v="763"/>
    <x v="122"/>
    <x v="762"/>
    <x v="0"/>
    <x v="0"/>
    <x v="1"/>
    <n v="2"/>
    <x v="3"/>
    <x v="5"/>
  </r>
  <r>
    <n v="764"/>
    <x v="66"/>
    <x v="763"/>
    <x v="1"/>
    <x v="30"/>
    <x v="1"/>
    <n v="1"/>
    <x v="3"/>
    <x v="16"/>
  </r>
  <r>
    <n v="765"/>
    <x v="159"/>
    <x v="764"/>
    <x v="0"/>
    <x v="22"/>
    <x v="1"/>
    <n v="4"/>
    <x v="0"/>
    <x v="7"/>
  </r>
  <r>
    <n v="766"/>
    <x v="192"/>
    <x v="765"/>
    <x v="0"/>
    <x v="21"/>
    <x v="2"/>
    <n v="3"/>
    <x v="4"/>
    <x v="12"/>
  </r>
  <r>
    <n v="767"/>
    <x v="208"/>
    <x v="766"/>
    <x v="0"/>
    <x v="23"/>
    <x v="0"/>
    <n v="3"/>
    <x v="3"/>
    <x v="8"/>
  </r>
  <r>
    <n v="768"/>
    <x v="20"/>
    <x v="767"/>
    <x v="1"/>
    <x v="46"/>
    <x v="0"/>
    <n v="3"/>
    <x v="3"/>
    <x v="8"/>
  </r>
  <r>
    <n v="769"/>
    <x v="159"/>
    <x v="768"/>
    <x v="1"/>
    <x v="33"/>
    <x v="2"/>
    <n v="4"/>
    <x v="2"/>
    <x v="10"/>
  </r>
  <r>
    <n v="770"/>
    <x v="293"/>
    <x v="769"/>
    <x v="0"/>
    <x v="40"/>
    <x v="1"/>
    <n v="1"/>
    <x v="0"/>
    <x v="5"/>
  </r>
  <r>
    <n v="771"/>
    <x v="8"/>
    <x v="770"/>
    <x v="0"/>
    <x v="46"/>
    <x v="2"/>
    <n v="2"/>
    <x v="3"/>
    <x v="5"/>
  </r>
  <r>
    <n v="772"/>
    <x v="322"/>
    <x v="771"/>
    <x v="0"/>
    <x v="1"/>
    <x v="2"/>
    <n v="1"/>
    <x v="2"/>
    <x v="2"/>
  </r>
  <r>
    <n v="773"/>
    <x v="323"/>
    <x v="772"/>
    <x v="0"/>
    <x v="36"/>
    <x v="2"/>
    <n v="4"/>
    <x v="1"/>
    <x v="11"/>
  </r>
  <r>
    <n v="774"/>
    <x v="22"/>
    <x v="773"/>
    <x v="1"/>
    <x v="30"/>
    <x v="1"/>
    <n v="2"/>
    <x v="3"/>
    <x v="5"/>
  </r>
  <r>
    <n v="775"/>
    <x v="195"/>
    <x v="774"/>
    <x v="1"/>
    <x v="6"/>
    <x v="2"/>
    <n v="4"/>
    <x v="3"/>
    <x v="4"/>
  </r>
  <r>
    <n v="776"/>
    <x v="315"/>
    <x v="775"/>
    <x v="0"/>
    <x v="10"/>
    <x v="1"/>
    <n v="3"/>
    <x v="2"/>
    <x v="15"/>
  </r>
  <r>
    <n v="777"/>
    <x v="156"/>
    <x v="776"/>
    <x v="0"/>
    <x v="27"/>
    <x v="2"/>
    <n v="3"/>
    <x v="0"/>
    <x v="0"/>
  </r>
  <r>
    <n v="778"/>
    <x v="51"/>
    <x v="777"/>
    <x v="1"/>
    <x v="16"/>
    <x v="0"/>
    <n v="4"/>
    <x v="3"/>
    <x v="4"/>
  </r>
  <r>
    <n v="779"/>
    <x v="179"/>
    <x v="778"/>
    <x v="1"/>
    <x v="37"/>
    <x v="2"/>
    <n v="2"/>
    <x v="1"/>
    <x v="1"/>
  </r>
  <r>
    <n v="780"/>
    <x v="7"/>
    <x v="779"/>
    <x v="0"/>
    <x v="8"/>
    <x v="2"/>
    <n v="2"/>
    <x v="3"/>
    <x v="5"/>
  </r>
  <r>
    <n v="781"/>
    <x v="204"/>
    <x v="780"/>
    <x v="0"/>
    <x v="10"/>
    <x v="0"/>
    <n v="1"/>
    <x v="1"/>
    <x v="3"/>
  </r>
  <r>
    <n v="782"/>
    <x v="234"/>
    <x v="781"/>
    <x v="0"/>
    <x v="42"/>
    <x v="1"/>
    <n v="3"/>
    <x v="4"/>
    <x v="12"/>
  </r>
  <r>
    <n v="783"/>
    <x v="82"/>
    <x v="782"/>
    <x v="1"/>
    <x v="37"/>
    <x v="1"/>
    <n v="1"/>
    <x v="4"/>
    <x v="13"/>
  </r>
  <r>
    <n v="784"/>
    <x v="324"/>
    <x v="783"/>
    <x v="1"/>
    <x v="0"/>
    <x v="2"/>
    <n v="1"/>
    <x v="1"/>
    <x v="3"/>
  </r>
  <r>
    <n v="785"/>
    <x v="163"/>
    <x v="784"/>
    <x v="1"/>
    <x v="33"/>
    <x v="0"/>
    <n v="4"/>
    <x v="0"/>
    <x v="7"/>
  </r>
  <r>
    <n v="786"/>
    <x v="222"/>
    <x v="785"/>
    <x v="0"/>
    <x v="27"/>
    <x v="1"/>
    <n v="4"/>
    <x v="3"/>
    <x v="4"/>
  </r>
  <r>
    <n v="787"/>
    <x v="256"/>
    <x v="786"/>
    <x v="0"/>
    <x v="41"/>
    <x v="2"/>
    <n v="1"/>
    <x v="3"/>
    <x v="16"/>
  </r>
  <r>
    <n v="788"/>
    <x v="325"/>
    <x v="787"/>
    <x v="1"/>
    <x v="8"/>
    <x v="0"/>
    <n v="3"/>
    <x v="4"/>
    <x v="12"/>
  </r>
  <r>
    <n v="789"/>
    <x v="148"/>
    <x v="788"/>
    <x v="1"/>
    <x v="39"/>
    <x v="1"/>
    <n v="4"/>
    <x v="1"/>
    <x v="11"/>
  </r>
  <r>
    <n v="790"/>
    <x v="102"/>
    <x v="789"/>
    <x v="0"/>
    <x v="17"/>
    <x v="1"/>
    <n v="1"/>
    <x v="3"/>
    <x v="16"/>
  </r>
  <r>
    <n v="791"/>
    <x v="59"/>
    <x v="790"/>
    <x v="1"/>
    <x v="25"/>
    <x v="0"/>
    <n v="1"/>
    <x v="3"/>
    <x v="16"/>
  </r>
  <r>
    <n v="792"/>
    <x v="67"/>
    <x v="791"/>
    <x v="1"/>
    <x v="29"/>
    <x v="0"/>
    <n v="1"/>
    <x v="0"/>
    <x v="5"/>
  </r>
  <r>
    <n v="793"/>
    <x v="57"/>
    <x v="792"/>
    <x v="0"/>
    <x v="31"/>
    <x v="0"/>
    <n v="1"/>
    <x v="2"/>
    <x v="2"/>
  </r>
  <r>
    <n v="794"/>
    <x v="129"/>
    <x v="793"/>
    <x v="1"/>
    <x v="43"/>
    <x v="0"/>
    <n v="1"/>
    <x v="4"/>
    <x v="13"/>
  </r>
  <r>
    <n v="795"/>
    <x v="73"/>
    <x v="794"/>
    <x v="0"/>
    <x v="35"/>
    <x v="2"/>
    <n v="1"/>
    <x v="4"/>
    <x v="13"/>
  </r>
  <r>
    <n v="796"/>
    <x v="33"/>
    <x v="795"/>
    <x v="0"/>
    <x v="22"/>
    <x v="0"/>
    <n v="4"/>
    <x v="2"/>
    <x v="10"/>
  </r>
  <r>
    <n v="797"/>
    <x v="326"/>
    <x v="796"/>
    <x v="0"/>
    <x v="30"/>
    <x v="1"/>
    <n v="3"/>
    <x v="3"/>
    <x v="8"/>
  </r>
  <r>
    <n v="798"/>
    <x v="279"/>
    <x v="797"/>
    <x v="0"/>
    <x v="39"/>
    <x v="1"/>
    <n v="1"/>
    <x v="0"/>
    <x v="5"/>
  </r>
  <r>
    <n v="799"/>
    <x v="140"/>
    <x v="798"/>
    <x v="0"/>
    <x v="37"/>
    <x v="2"/>
    <n v="2"/>
    <x v="0"/>
    <x v="4"/>
  </r>
  <r>
    <n v="800"/>
    <x v="130"/>
    <x v="799"/>
    <x v="0"/>
    <x v="40"/>
    <x v="1"/>
    <n v="4"/>
    <x v="4"/>
    <x v="14"/>
  </r>
  <r>
    <n v="801"/>
    <x v="327"/>
    <x v="800"/>
    <x v="0"/>
    <x v="34"/>
    <x v="1"/>
    <n v="4"/>
    <x v="0"/>
    <x v="7"/>
  </r>
  <r>
    <n v="802"/>
    <x v="53"/>
    <x v="801"/>
    <x v="1"/>
    <x v="6"/>
    <x v="0"/>
    <n v="1"/>
    <x v="2"/>
    <x v="2"/>
  </r>
  <r>
    <n v="803"/>
    <x v="64"/>
    <x v="802"/>
    <x v="0"/>
    <x v="23"/>
    <x v="1"/>
    <n v="4"/>
    <x v="3"/>
    <x v="4"/>
  </r>
  <r>
    <n v="804"/>
    <x v="44"/>
    <x v="803"/>
    <x v="0"/>
    <x v="13"/>
    <x v="2"/>
    <n v="1"/>
    <x v="2"/>
    <x v="2"/>
  </r>
  <r>
    <n v="805"/>
    <x v="167"/>
    <x v="804"/>
    <x v="1"/>
    <x v="4"/>
    <x v="0"/>
    <n v="3"/>
    <x v="1"/>
    <x v="9"/>
  </r>
  <r>
    <n v="806"/>
    <x v="111"/>
    <x v="805"/>
    <x v="1"/>
    <x v="10"/>
    <x v="0"/>
    <n v="3"/>
    <x v="4"/>
    <x v="12"/>
  </r>
  <r>
    <n v="807"/>
    <x v="124"/>
    <x v="806"/>
    <x v="1"/>
    <x v="2"/>
    <x v="2"/>
    <n v="4"/>
    <x v="0"/>
    <x v="7"/>
  </r>
  <r>
    <n v="808"/>
    <x v="258"/>
    <x v="807"/>
    <x v="0"/>
    <x v="44"/>
    <x v="0"/>
    <n v="4"/>
    <x v="1"/>
    <x v="11"/>
  </r>
  <r>
    <n v="809"/>
    <x v="223"/>
    <x v="808"/>
    <x v="1"/>
    <x v="17"/>
    <x v="0"/>
    <n v="2"/>
    <x v="0"/>
    <x v="4"/>
  </r>
  <r>
    <n v="810"/>
    <x v="198"/>
    <x v="809"/>
    <x v="0"/>
    <x v="42"/>
    <x v="2"/>
    <n v="4"/>
    <x v="3"/>
    <x v="4"/>
  </r>
  <r>
    <n v="811"/>
    <x v="79"/>
    <x v="810"/>
    <x v="0"/>
    <x v="39"/>
    <x v="0"/>
    <n v="2"/>
    <x v="3"/>
    <x v="5"/>
  </r>
  <r>
    <n v="812"/>
    <x v="281"/>
    <x v="811"/>
    <x v="0"/>
    <x v="14"/>
    <x v="2"/>
    <n v="3"/>
    <x v="3"/>
    <x v="8"/>
  </r>
  <r>
    <n v="813"/>
    <x v="99"/>
    <x v="812"/>
    <x v="0"/>
    <x v="8"/>
    <x v="2"/>
    <n v="3"/>
    <x v="0"/>
    <x v="0"/>
  </r>
  <r>
    <n v="814"/>
    <x v="328"/>
    <x v="813"/>
    <x v="1"/>
    <x v="42"/>
    <x v="1"/>
    <n v="1"/>
    <x v="1"/>
    <x v="3"/>
  </r>
  <r>
    <n v="815"/>
    <x v="286"/>
    <x v="814"/>
    <x v="1"/>
    <x v="25"/>
    <x v="1"/>
    <n v="3"/>
    <x v="3"/>
    <x v="8"/>
  </r>
  <r>
    <n v="816"/>
    <x v="269"/>
    <x v="815"/>
    <x v="0"/>
    <x v="16"/>
    <x v="0"/>
    <n v="2"/>
    <x v="1"/>
    <x v="1"/>
  </r>
  <r>
    <n v="817"/>
    <x v="315"/>
    <x v="816"/>
    <x v="0"/>
    <x v="4"/>
    <x v="0"/>
    <n v="4"/>
    <x v="0"/>
    <x v="7"/>
  </r>
  <r>
    <n v="818"/>
    <x v="88"/>
    <x v="817"/>
    <x v="0"/>
    <x v="4"/>
    <x v="2"/>
    <n v="1"/>
    <x v="1"/>
    <x v="3"/>
  </r>
  <r>
    <n v="819"/>
    <x v="139"/>
    <x v="818"/>
    <x v="1"/>
    <x v="10"/>
    <x v="0"/>
    <n v="2"/>
    <x v="0"/>
    <x v="4"/>
  </r>
  <r>
    <n v="820"/>
    <x v="4"/>
    <x v="819"/>
    <x v="0"/>
    <x v="19"/>
    <x v="2"/>
    <n v="4"/>
    <x v="0"/>
    <x v="7"/>
  </r>
  <r>
    <n v="821"/>
    <x v="10"/>
    <x v="820"/>
    <x v="0"/>
    <x v="19"/>
    <x v="2"/>
    <n v="1"/>
    <x v="4"/>
    <x v="13"/>
  </r>
  <r>
    <n v="822"/>
    <x v="29"/>
    <x v="821"/>
    <x v="1"/>
    <x v="8"/>
    <x v="0"/>
    <n v="3"/>
    <x v="0"/>
    <x v="0"/>
  </r>
  <r>
    <n v="823"/>
    <x v="304"/>
    <x v="822"/>
    <x v="1"/>
    <x v="37"/>
    <x v="2"/>
    <n v="2"/>
    <x v="0"/>
    <x v="4"/>
  </r>
  <r>
    <n v="824"/>
    <x v="179"/>
    <x v="823"/>
    <x v="0"/>
    <x v="7"/>
    <x v="1"/>
    <n v="4"/>
    <x v="2"/>
    <x v="10"/>
  </r>
  <r>
    <n v="825"/>
    <x v="300"/>
    <x v="824"/>
    <x v="1"/>
    <x v="6"/>
    <x v="0"/>
    <n v="1"/>
    <x v="3"/>
    <x v="16"/>
  </r>
  <r>
    <n v="826"/>
    <x v="218"/>
    <x v="825"/>
    <x v="1"/>
    <x v="6"/>
    <x v="1"/>
    <n v="1"/>
    <x v="4"/>
    <x v="13"/>
  </r>
  <r>
    <n v="827"/>
    <x v="289"/>
    <x v="826"/>
    <x v="0"/>
    <x v="39"/>
    <x v="0"/>
    <n v="3"/>
    <x v="4"/>
    <x v="12"/>
  </r>
  <r>
    <n v="828"/>
    <x v="174"/>
    <x v="827"/>
    <x v="1"/>
    <x v="44"/>
    <x v="2"/>
    <n v="4"/>
    <x v="4"/>
    <x v="14"/>
  </r>
  <r>
    <n v="829"/>
    <x v="37"/>
    <x v="828"/>
    <x v="0"/>
    <x v="39"/>
    <x v="0"/>
    <n v="3"/>
    <x v="2"/>
    <x v="15"/>
  </r>
  <r>
    <n v="830"/>
    <x v="36"/>
    <x v="829"/>
    <x v="1"/>
    <x v="12"/>
    <x v="1"/>
    <n v="3"/>
    <x v="0"/>
    <x v="0"/>
  </r>
  <r>
    <n v="831"/>
    <x v="267"/>
    <x v="830"/>
    <x v="0"/>
    <x v="15"/>
    <x v="2"/>
    <n v="4"/>
    <x v="3"/>
    <x v="4"/>
  </r>
  <r>
    <n v="832"/>
    <x v="296"/>
    <x v="831"/>
    <x v="0"/>
    <x v="16"/>
    <x v="0"/>
    <n v="4"/>
    <x v="1"/>
    <x v="11"/>
  </r>
  <r>
    <n v="833"/>
    <x v="83"/>
    <x v="832"/>
    <x v="0"/>
    <x v="13"/>
    <x v="0"/>
    <n v="4"/>
    <x v="0"/>
    <x v="7"/>
  </r>
  <r>
    <n v="834"/>
    <x v="194"/>
    <x v="833"/>
    <x v="1"/>
    <x v="37"/>
    <x v="0"/>
    <n v="2"/>
    <x v="2"/>
    <x v="17"/>
  </r>
  <r>
    <n v="835"/>
    <x v="206"/>
    <x v="834"/>
    <x v="0"/>
    <x v="3"/>
    <x v="1"/>
    <n v="4"/>
    <x v="0"/>
    <x v="7"/>
  </r>
  <r>
    <n v="836"/>
    <x v="90"/>
    <x v="835"/>
    <x v="1"/>
    <x v="11"/>
    <x v="1"/>
    <n v="1"/>
    <x v="0"/>
    <x v="5"/>
  </r>
  <r>
    <n v="837"/>
    <x v="68"/>
    <x v="836"/>
    <x v="0"/>
    <x v="18"/>
    <x v="0"/>
    <n v="3"/>
    <x v="2"/>
    <x v="15"/>
  </r>
  <r>
    <n v="838"/>
    <x v="305"/>
    <x v="837"/>
    <x v="0"/>
    <x v="16"/>
    <x v="2"/>
    <n v="2"/>
    <x v="4"/>
    <x v="6"/>
  </r>
  <r>
    <n v="839"/>
    <x v="33"/>
    <x v="838"/>
    <x v="1"/>
    <x v="29"/>
    <x v="2"/>
    <n v="4"/>
    <x v="4"/>
    <x v="14"/>
  </r>
  <r>
    <n v="840"/>
    <x v="329"/>
    <x v="839"/>
    <x v="0"/>
    <x v="17"/>
    <x v="1"/>
    <n v="2"/>
    <x v="3"/>
    <x v="5"/>
  </r>
  <r>
    <n v="841"/>
    <x v="113"/>
    <x v="840"/>
    <x v="0"/>
    <x v="33"/>
    <x v="2"/>
    <n v="4"/>
    <x v="3"/>
    <x v="4"/>
  </r>
  <r>
    <n v="842"/>
    <x v="24"/>
    <x v="841"/>
    <x v="1"/>
    <x v="16"/>
    <x v="1"/>
    <n v="2"/>
    <x v="4"/>
    <x v="6"/>
  </r>
  <r>
    <n v="843"/>
    <x v="247"/>
    <x v="842"/>
    <x v="0"/>
    <x v="34"/>
    <x v="0"/>
    <n v="3"/>
    <x v="1"/>
    <x v="9"/>
  </r>
  <r>
    <n v="844"/>
    <x v="205"/>
    <x v="843"/>
    <x v="0"/>
    <x v="10"/>
    <x v="1"/>
    <n v="3"/>
    <x v="0"/>
    <x v="0"/>
  </r>
  <r>
    <n v="845"/>
    <x v="121"/>
    <x v="844"/>
    <x v="0"/>
    <x v="31"/>
    <x v="1"/>
    <n v="1"/>
    <x v="1"/>
    <x v="3"/>
  </r>
  <r>
    <n v="846"/>
    <x v="161"/>
    <x v="845"/>
    <x v="0"/>
    <x v="13"/>
    <x v="0"/>
    <n v="1"/>
    <x v="0"/>
    <x v="5"/>
  </r>
  <r>
    <n v="847"/>
    <x v="181"/>
    <x v="846"/>
    <x v="1"/>
    <x v="18"/>
    <x v="2"/>
    <n v="4"/>
    <x v="4"/>
    <x v="14"/>
  </r>
  <r>
    <n v="848"/>
    <x v="146"/>
    <x v="847"/>
    <x v="1"/>
    <x v="7"/>
    <x v="1"/>
    <n v="3"/>
    <x v="3"/>
    <x v="8"/>
  </r>
  <r>
    <n v="849"/>
    <x v="145"/>
    <x v="848"/>
    <x v="0"/>
    <x v="40"/>
    <x v="1"/>
    <n v="2"/>
    <x v="3"/>
    <x v="5"/>
  </r>
  <r>
    <n v="850"/>
    <x v="180"/>
    <x v="849"/>
    <x v="1"/>
    <x v="1"/>
    <x v="0"/>
    <n v="2"/>
    <x v="1"/>
    <x v="1"/>
  </r>
  <r>
    <n v="851"/>
    <x v="140"/>
    <x v="850"/>
    <x v="0"/>
    <x v="40"/>
    <x v="2"/>
    <n v="2"/>
    <x v="3"/>
    <x v="5"/>
  </r>
  <r>
    <n v="852"/>
    <x v="205"/>
    <x v="851"/>
    <x v="1"/>
    <x v="41"/>
    <x v="1"/>
    <n v="1"/>
    <x v="4"/>
    <x v="13"/>
  </r>
  <r>
    <n v="853"/>
    <x v="145"/>
    <x v="852"/>
    <x v="0"/>
    <x v="34"/>
    <x v="0"/>
    <n v="2"/>
    <x v="1"/>
    <x v="1"/>
  </r>
  <r>
    <n v="854"/>
    <x v="156"/>
    <x v="853"/>
    <x v="0"/>
    <x v="38"/>
    <x v="1"/>
    <n v="1"/>
    <x v="0"/>
    <x v="5"/>
  </r>
  <r>
    <n v="855"/>
    <x v="152"/>
    <x v="854"/>
    <x v="0"/>
    <x v="31"/>
    <x v="0"/>
    <n v="1"/>
    <x v="3"/>
    <x v="16"/>
  </r>
  <r>
    <n v="856"/>
    <x v="188"/>
    <x v="855"/>
    <x v="0"/>
    <x v="31"/>
    <x v="2"/>
    <n v="4"/>
    <x v="2"/>
    <x v="10"/>
  </r>
  <r>
    <n v="857"/>
    <x v="330"/>
    <x v="856"/>
    <x v="0"/>
    <x v="43"/>
    <x v="2"/>
    <n v="2"/>
    <x v="3"/>
    <x v="5"/>
  </r>
  <r>
    <n v="858"/>
    <x v="331"/>
    <x v="857"/>
    <x v="0"/>
    <x v="9"/>
    <x v="2"/>
    <n v="2"/>
    <x v="0"/>
    <x v="4"/>
  </r>
  <r>
    <n v="859"/>
    <x v="27"/>
    <x v="858"/>
    <x v="1"/>
    <x v="37"/>
    <x v="2"/>
    <n v="3"/>
    <x v="1"/>
    <x v="9"/>
  </r>
  <r>
    <n v="860"/>
    <x v="332"/>
    <x v="859"/>
    <x v="0"/>
    <x v="7"/>
    <x v="1"/>
    <n v="4"/>
    <x v="0"/>
    <x v="7"/>
  </r>
  <r>
    <n v="861"/>
    <x v="15"/>
    <x v="860"/>
    <x v="1"/>
    <x v="41"/>
    <x v="1"/>
    <n v="3"/>
    <x v="2"/>
    <x v="15"/>
  </r>
  <r>
    <n v="862"/>
    <x v="50"/>
    <x v="861"/>
    <x v="0"/>
    <x v="20"/>
    <x v="2"/>
    <n v="4"/>
    <x v="4"/>
    <x v="14"/>
  </r>
  <r>
    <n v="863"/>
    <x v="262"/>
    <x v="862"/>
    <x v="1"/>
    <x v="4"/>
    <x v="2"/>
    <n v="2"/>
    <x v="3"/>
    <x v="5"/>
  </r>
  <r>
    <n v="864"/>
    <x v="282"/>
    <x v="863"/>
    <x v="1"/>
    <x v="25"/>
    <x v="2"/>
    <n v="1"/>
    <x v="1"/>
    <x v="3"/>
  </r>
  <r>
    <n v="865"/>
    <x v="333"/>
    <x v="864"/>
    <x v="1"/>
    <x v="13"/>
    <x v="1"/>
    <n v="1"/>
    <x v="4"/>
    <x v="13"/>
  </r>
  <r>
    <n v="866"/>
    <x v="179"/>
    <x v="865"/>
    <x v="0"/>
    <x v="46"/>
    <x v="2"/>
    <n v="1"/>
    <x v="0"/>
    <x v="5"/>
  </r>
  <r>
    <n v="867"/>
    <x v="264"/>
    <x v="866"/>
    <x v="0"/>
    <x v="34"/>
    <x v="2"/>
    <n v="1"/>
    <x v="1"/>
    <x v="3"/>
  </r>
  <r>
    <n v="868"/>
    <x v="237"/>
    <x v="867"/>
    <x v="1"/>
    <x v="36"/>
    <x v="2"/>
    <n v="1"/>
    <x v="4"/>
    <x v="13"/>
  </r>
  <r>
    <n v="869"/>
    <x v="268"/>
    <x v="868"/>
    <x v="0"/>
    <x v="3"/>
    <x v="0"/>
    <n v="3"/>
    <x v="1"/>
    <x v="9"/>
  </r>
  <r>
    <n v="870"/>
    <x v="321"/>
    <x v="869"/>
    <x v="1"/>
    <x v="6"/>
    <x v="2"/>
    <n v="4"/>
    <x v="2"/>
    <x v="10"/>
  </r>
  <r>
    <n v="871"/>
    <x v="178"/>
    <x v="870"/>
    <x v="0"/>
    <x v="17"/>
    <x v="0"/>
    <n v="2"/>
    <x v="2"/>
    <x v="17"/>
  </r>
  <r>
    <n v="872"/>
    <x v="120"/>
    <x v="871"/>
    <x v="1"/>
    <x v="7"/>
    <x v="0"/>
    <n v="3"/>
    <x v="3"/>
    <x v="8"/>
  </r>
  <r>
    <n v="873"/>
    <x v="136"/>
    <x v="872"/>
    <x v="1"/>
    <x v="15"/>
    <x v="2"/>
    <n v="4"/>
    <x v="3"/>
    <x v="4"/>
  </r>
  <r>
    <n v="874"/>
    <x v="40"/>
    <x v="873"/>
    <x v="0"/>
    <x v="43"/>
    <x v="0"/>
    <n v="1"/>
    <x v="2"/>
    <x v="2"/>
  </r>
  <r>
    <n v="875"/>
    <x v="298"/>
    <x v="874"/>
    <x v="1"/>
    <x v="25"/>
    <x v="2"/>
    <n v="4"/>
    <x v="1"/>
    <x v="11"/>
  </r>
  <r>
    <n v="876"/>
    <x v="153"/>
    <x v="875"/>
    <x v="0"/>
    <x v="22"/>
    <x v="1"/>
    <n v="4"/>
    <x v="2"/>
    <x v="10"/>
  </r>
  <r>
    <n v="877"/>
    <x v="171"/>
    <x v="876"/>
    <x v="1"/>
    <x v="26"/>
    <x v="1"/>
    <n v="1"/>
    <x v="3"/>
    <x v="16"/>
  </r>
  <r>
    <n v="878"/>
    <x v="313"/>
    <x v="877"/>
    <x v="1"/>
    <x v="29"/>
    <x v="1"/>
    <n v="1"/>
    <x v="2"/>
    <x v="2"/>
  </r>
  <r>
    <n v="879"/>
    <x v="24"/>
    <x v="878"/>
    <x v="0"/>
    <x v="9"/>
    <x v="1"/>
    <n v="1"/>
    <x v="2"/>
    <x v="2"/>
  </r>
  <r>
    <n v="880"/>
    <x v="63"/>
    <x v="879"/>
    <x v="0"/>
    <x v="11"/>
    <x v="0"/>
    <n v="2"/>
    <x v="1"/>
    <x v="1"/>
  </r>
  <r>
    <n v="881"/>
    <x v="79"/>
    <x v="880"/>
    <x v="0"/>
    <x v="11"/>
    <x v="2"/>
    <n v="1"/>
    <x v="4"/>
    <x v="13"/>
  </r>
  <r>
    <n v="882"/>
    <x v="264"/>
    <x v="881"/>
    <x v="1"/>
    <x v="12"/>
    <x v="2"/>
    <n v="2"/>
    <x v="3"/>
    <x v="5"/>
  </r>
  <r>
    <n v="883"/>
    <x v="119"/>
    <x v="882"/>
    <x v="0"/>
    <x v="30"/>
    <x v="2"/>
    <n v="1"/>
    <x v="1"/>
    <x v="3"/>
  </r>
  <r>
    <n v="884"/>
    <x v="310"/>
    <x v="883"/>
    <x v="1"/>
    <x v="1"/>
    <x v="1"/>
    <n v="2"/>
    <x v="2"/>
    <x v="17"/>
  </r>
  <r>
    <n v="885"/>
    <x v="163"/>
    <x v="884"/>
    <x v="1"/>
    <x v="8"/>
    <x v="1"/>
    <n v="4"/>
    <x v="2"/>
    <x v="10"/>
  </r>
  <r>
    <n v="886"/>
    <x v="55"/>
    <x v="885"/>
    <x v="0"/>
    <x v="3"/>
    <x v="2"/>
    <n v="3"/>
    <x v="4"/>
    <x v="12"/>
  </r>
  <r>
    <n v="887"/>
    <x v="86"/>
    <x v="886"/>
    <x v="0"/>
    <x v="42"/>
    <x v="1"/>
    <n v="4"/>
    <x v="3"/>
    <x v="4"/>
  </r>
  <r>
    <n v="888"/>
    <x v="163"/>
    <x v="887"/>
    <x v="1"/>
    <x v="8"/>
    <x v="2"/>
    <n v="4"/>
    <x v="3"/>
    <x v="4"/>
  </r>
  <r>
    <n v="889"/>
    <x v="45"/>
    <x v="888"/>
    <x v="1"/>
    <x v="10"/>
    <x v="2"/>
    <n v="1"/>
    <x v="0"/>
    <x v="5"/>
  </r>
  <r>
    <n v="890"/>
    <x v="156"/>
    <x v="889"/>
    <x v="0"/>
    <x v="0"/>
    <x v="2"/>
    <n v="2"/>
    <x v="3"/>
    <x v="5"/>
  </r>
  <r>
    <n v="891"/>
    <x v="334"/>
    <x v="890"/>
    <x v="0"/>
    <x v="41"/>
    <x v="2"/>
    <n v="3"/>
    <x v="4"/>
    <x v="12"/>
  </r>
  <r>
    <n v="892"/>
    <x v="55"/>
    <x v="891"/>
    <x v="0"/>
    <x v="29"/>
    <x v="2"/>
    <n v="1"/>
    <x v="0"/>
    <x v="5"/>
  </r>
  <r>
    <n v="893"/>
    <x v="35"/>
    <x v="892"/>
    <x v="0"/>
    <x v="19"/>
    <x v="2"/>
    <n v="1"/>
    <x v="0"/>
    <x v="5"/>
  </r>
  <r>
    <n v="894"/>
    <x v="328"/>
    <x v="893"/>
    <x v="0"/>
    <x v="8"/>
    <x v="2"/>
    <n v="1"/>
    <x v="2"/>
    <x v="2"/>
  </r>
  <r>
    <n v="895"/>
    <x v="247"/>
    <x v="894"/>
    <x v="1"/>
    <x v="28"/>
    <x v="1"/>
    <n v="4"/>
    <x v="2"/>
    <x v="10"/>
  </r>
  <r>
    <n v="896"/>
    <x v="28"/>
    <x v="895"/>
    <x v="1"/>
    <x v="4"/>
    <x v="2"/>
    <n v="2"/>
    <x v="3"/>
    <x v="5"/>
  </r>
  <r>
    <n v="897"/>
    <x v="335"/>
    <x v="896"/>
    <x v="1"/>
    <x v="12"/>
    <x v="2"/>
    <n v="2"/>
    <x v="0"/>
    <x v="4"/>
  </r>
  <r>
    <n v="898"/>
    <x v="113"/>
    <x v="897"/>
    <x v="1"/>
    <x v="13"/>
    <x v="1"/>
    <n v="3"/>
    <x v="2"/>
    <x v="15"/>
  </r>
  <r>
    <n v="899"/>
    <x v="242"/>
    <x v="898"/>
    <x v="0"/>
    <x v="1"/>
    <x v="1"/>
    <n v="2"/>
    <x v="4"/>
    <x v="6"/>
  </r>
  <r>
    <n v="900"/>
    <x v="62"/>
    <x v="899"/>
    <x v="0"/>
    <x v="34"/>
    <x v="1"/>
    <n v="2"/>
    <x v="2"/>
    <x v="17"/>
  </r>
  <r>
    <n v="901"/>
    <x v="294"/>
    <x v="900"/>
    <x v="0"/>
    <x v="33"/>
    <x v="2"/>
    <n v="1"/>
    <x v="2"/>
    <x v="2"/>
  </r>
  <r>
    <n v="902"/>
    <x v="207"/>
    <x v="901"/>
    <x v="1"/>
    <x v="31"/>
    <x v="0"/>
    <n v="1"/>
    <x v="0"/>
    <x v="5"/>
  </r>
  <r>
    <n v="903"/>
    <x v="60"/>
    <x v="902"/>
    <x v="1"/>
    <x v="25"/>
    <x v="0"/>
    <n v="4"/>
    <x v="0"/>
    <x v="7"/>
  </r>
  <r>
    <n v="904"/>
    <x v="336"/>
    <x v="903"/>
    <x v="0"/>
    <x v="20"/>
    <x v="1"/>
    <n v="1"/>
    <x v="1"/>
    <x v="3"/>
  </r>
  <r>
    <n v="905"/>
    <x v="128"/>
    <x v="904"/>
    <x v="0"/>
    <x v="26"/>
    <x v="0"/>
    <n v="1"/>
    <x v="4"/>
    <x v="13"/>
  </r>
  <r>
    <n v="906"/>
    <x v="234"/>
    <x v="905"/>
    <x v="1"/>
    <x v="29"/>
    <x v="1"/>
    <n v="1"/>
    <x v="0"/>
    <x v="5"/>
  </r>
  <r>
    <n v="907"/>
    <x v="199"/>
    <x v="906"/>
    <x v="1"/>
    <x v="5"/>
    <x v="2"/>
    <n v="1"/>
    <x v="3"/>
    <x v="16"/>
  </r>
  <r>
    <n v="908"/>
    <x v="167"/>
    <x v="907"/>
    <x v="0"/>
    <x v="6"/>
    <x v="0"/>
    <n v="4"/>
    <x v="4"/>
    <x v="14"/>
  </r>
  <r>
    <n v="909"/>
    <x v="77"/>
    <x v="908"/>
    <x v="0"/>
    <x v="1"/>
    <x v="2"/>
    <n v="1"/>
    <x v="4"/>
    <x v="13"/>
  </r>
  <r>
    <n v="910"/>
    <x v="149"/>
    <x v="909"/>
    <x v="1"/>
    <x v="29"/>
    <x v="0"/>
    <n v="3"/>
    <x v="0"/>
    <x v="0"/>
  </r>
  <r>
    <n v="911"/>
    <x v="3"/>
    <x v="910"/>
    <x v="0"/>
    <x v="13"/>
    <x v="2"/>
    <n v="3"/>
    <x v="4"/>
    <x v="12"/>
  </r>
  <r>
    <n v="912"/>
    <x v="58"/>
    <x v="911"/>
    <x v="0"/>
    <x v="25"/>
    <x v="0"/>
    <n v="3"/>
    <x v="0"/>
    <x v="0"/>
  </r>
  <r>
    <n v="913"/>
    <x v="185"/>
    <x v="912"/>
    <x v="0"/>
    <x v="38"/>
    <x v="2"/>
    <n v="3"/>
    <x v="2"/>
    <x v="15"/>
  </r>
  <r>
    <n v="914"/>
    <x v="120"/>
    <x v="913"/>
    <x v="1"/>
    <x v="42"/>
    <x v="2"/>
    <n v="1"/>
    <x v="1"/>
    <x v="3"/>
  </r>
  <r>
    <n v="915"/>
    <x v="337"/>
    <x v="914"/>
    <x v="1"/>
    <x v="1"/>
    <x v="0"/>
    <n v="3"/>
    <x v="2"/>
    <x v="15"/>
  </r>
  <r>
    <n v="916"/>
    <x v="32"/>
    <x v="915"/>
    <x v="1"/>
    <x v="40"/>
    <x v="2"/>
    <n v="1"/>
    <x v="0"/>
    <x v="5"/>
  </r>
  <r>
    <n v="917"/>
    <x v="149"/>
    <x v="916"/>
    <x v="1"/>
    <x v="35"/>
    <x v="2"/>
    <n v="4"/>
    <x v="0"/>
    <x v="7"/>
  </r>
  <r>
    <n v="918"/>
    <x v="250"/>
    <x v="917"/>
    <x v="1"/>
    <x v="13"/>
    <x v="2"/>
    <n v="3"/>
    <x v="2"/>
    <x v="15"/>
  </r>
  <r>
    <n v="919"/>
    <x v="331"/>
    <x v="918"/>
    <x v="1"/>
    <x v="11"/>
    <x v="0"/>
    <n v="2"/>
    <x v="3"/>
    <x v="5"/>
  </r>
  <r>
    <n v="920"/>
    <x v="7"/>
    <x v="919"/>
    <x v="1"/>
    <x v="20"/>
    <x v="0"/>
    <n v="3"/>
    <x v="3"/>
    <x v="8"/>
  </r>
  <r>
    <n v="921"/>
    <x v="326"/>
    <x v="920"/>
    <x v="0"/>
    <x v="25"/>
    <x v="2"/>
    <n v="3"/>
    <x v="3"/>
    <x v="8"/>
  </r>
  <r>
    <n v="922"/>
    <x v="338"/>
    <x v="921"/>
    <x v="0"/>
    <x v="41"/>
    <x v="2"/>
    <n v="1"/>
    <x v="0"/>
    <x v="5"/>
  </r>
  <r>
    <n v="923"/>
    <x v="232"/>
    <x v="922"/>
    <x v="0"/>
    <x v="40"/>
    <x v="0"/>
    <n v="3"/>
    <x v="4"/>
    <x v="12"/>
  </r>
  <r>
    <n v="924"/>
    <x v="261"/>
    <x v="923"/>
    <x v="0"/>
    <x v="28"/>
    <x v="0"/>
    <n v="2"/>
    <x v="0"/>
    <x v="4"/>
  </r>
  <r>
    <n v="925"/>
    <x v="339"/>
    <x v="924"/>
    <x v="0"/>
    <x v="36"/>
    <x v="2"/>
    <n v="1"/>
    <x v="4"/>
    <x v="13"/>
  </r>
  <r>
    <n v="926"/>
    <x v="306"/>
    <x v="925"/>
    <x v="0"/>
    <x v="11"/>
    <x v="2"/>
    <n v="1"/>
    <x v="2"/>
    <x v="2"/>
  </r>
  <r>
    <n v="927"/>
    <x v="33"/>
    <x v="926"/>
    <x v="0"/>
    <x v="22"/>
    <x v="2"/>
    <n v="4"/>
    <x v="1"/>
    <x v="11"/>
  </r>
  <r>
    <n v="928"/>
    <x v="334"/>
    <x v="927"/>
    <x v="1"/>
    <x v="10"/>
    <x v="1"/>
    <n v="4"/>
    <x v="4"/>
    <x v="14"/>
  </r>
  <r>
    <n v="929"/>
    <x v="246"/>
    <x v="928"/>
    <x v="1"/>
    <x v="9"/>
    <x v="0"/>
    <n v="3"/>
    <x v="3"/>
    <x v="8"/>
  </r>
  <r>
    <n v="930"/>
    <x v="318"/>
    <x v="929"/>
    <x v="0"/>
    <x v="31"/>
    <x v="1"/>
    <n v="4"/>
    <x v="0"/>
    <x v="7"/>
  </r>
  <r>
    <n v="931"/>
    <x v="211"/>
    <x v="930"/>
    <x v="0"/>
    <x v="4"/>
    <x v="0"/>
    <n v="4"/>
    <x v="2"/>
    <x v="10"/>
  </r>
  <r>
    <n v="932"/>
    <x v="122"/>
    <x v="931"/>
    <x v="1"/>
    <x v="5"/>
    <x v="0"/>
    <n v="4"/>
    <x v="3"/>
    <x v="4"/>
  </r>
  <r>
    <n v="933"/>
    <x v="89"/>
    <x v="932"/>
    <x v="0"/>
    <x v="11"/>
    <x v="0"/>
    <n v="1"/>
    <x v="2"/>
    <x v="2"/>
  </r>
  <r>
    <n v="934"/>
    <x v="87"/>
    <x v="933"/>
    <x v="0"/>
    <x v="4"/>
    <x v="0"/>
    <n v="1"/>
    <x v="1"/>
    <x v="3"/>
  </r>
  <r>
    <n v="935"/>
    <x v="331"/>
    <x v="934"/>
    <x v="1"/>
    <x v="0"/>
    <x v="0"/>
    <n v="1"/>
    <x v="0"/>
    <x v="5"/>
  </r>
  <r>
    <n v="936"/>
    <x v="227"/>
    <x v="935"/>
    <x v="0"/>
    <x v="35"/>
    <x v="0"/>
    <n v="4"/>
    <x v="0"/>
    <x v="7"/>
  </r>
  <r>
    <n v="937"/>
    <x v="54"/>
    <x v="936"/>
    <x v="1"/>
    <x v="17"/>
    <x v="0"/>
    <n v="1"/>
    <x v="1"/>
    <x v="3"/>
  </r>
  <r>
    <n v="938"/>
    <x v="292"/>
    <x v="937"/>
    <x v="0"/>
    <x v="19"/>
    <x v="1"/>
    <n v="4"/>
    <x v="0"/>
    <x v="7"/>
  </r>
  <r>
    <n v="939"/>
    <x v="244"/>
    <x v="938"/>
    <x v="1"/>
    <x v="6"/>
    <x v="2"/>
    <n v="1"/>
    <x v="4"/>
    <x v="13"/>
  </r>
  <r>
    <n v="940"/>
    <x v="185"/>
    <x v="939"/>
    <x v="1"/>
    <x v="29"/>
    <x v="2"/>
    <n v="1"/>
    <x v="2"/>
    <x v="2"/>
  </r>
  <r>
    <n v="941"/>
    <x v="309"/>
    <x v="940"/>
    <x v="1"/>
    <x v="35"/>
    <x v="1"/>
    <n v="2"/>
    <x v="3"/>
    <x v="5"/>
  </r>
  <r>
    <n v="942"/>
    <x v="253"/>
    <x v="941"/>
    <x v="0"/>
    <x v="25"/>
    <x v="1"/>
    <n v="3"/>
    <x v="1"/>
    <x v="9"/>
  </r>
  <r>
    <n v="943"/>
    <x v="230"/>
    <x v="942"/>
    <x v="1"/>
    <x v="35"/>
    <x v="1"/>
    <n v="4"/>
    <x v="4"/>
    <x v="14"/>
  </r>
  <r>
    <n v="944"/>
    <x v="284"/>
    <x v="943"/>
    <x v="0"/>
    <x v="24"/>
    <x v="1"/>
    <n v="2"/>
    <x v="3"/>
    <x v="5"/>
  </r>
  <r>
    <n v="945"/>
    <x v="146"/>
    <x v="944"/>
    <x v="0"/>
    <x v="4"/>
    <x v="0"/>
    <n v="1"/>
    <x v="3"/>
    <x v="16"/>
  </r>
  <r>
    <n v="946"/>
    <x v="193"/>
    <x v="945"/>
    <x v="0"/>
    <x v="17"/>
    <x v="2"/>
    <n v="4"/>
    <x v="1"/>
    <x v="11"/>
  </r>
  <r>
    <n v="947"/>
    <x v="340"/>
    <x v="946"/>
    <x v="0"/>
    <x v="2"/>
    <x v="0"/>
    <n v="1"/>
    <x v="4"/>
    <x v="13"/>
  </r>
  <r>
    <n v="948"/>
    <x v="81"/>
    <x v="947"/>
    <x v="1"/>
    <x v="9"/>
    <x v="2"/>
    <n v="3"/>
    <x v="3"/>
    <x v="8"/>
  </r>
  <r>
    <n v="949"/>
    <x v="341"/>
    <x v="948"/>
    <x v="1"/>
    <x v="41"/>
    <x v="2"/>
    <n v="2"/>
    <x v="3"/>
    <x v="5"/>
  </r>
  <r>
    <n v="950"/>
    <x v="155"/>
    <x v="949"/>
    <x v="0"/>
    <x v="32"/>
    <x v="1"/>
    <n v="3"/>
    <x v="4"/>
    <x v="12"/>
  </r>
  <r>
    <n v="951"/>
    <x v="113"/>
    <x v="950"/>
    <x v="0"/>
    <x v="44"/>
    <x v="0"/>
    <n v="2"/>
    <x v="0"/>
    <x v="4"/>
  </r>
  <r>
    <n v="952"/>
    <x v="52"/>
    <x v="951"/>
    <x v="1"/>
    <x v="35"/>
    <x v="1"/>
    <n v="1"/>
    <x v="3"/>
    <x v="16"/>
  </r>
  <r>
    <n v="953"/>
    <x v="164"/>
    <x v="952"/>
    <x v="0"/>
    <x v="5"/>
    <x v="0"/>
    <n v="3"/>
    <x v="2"/>
    <x v="15"/>
  </r>
  <r>
    <n v="954"/>
    <x v="223"/>
    <x v="953"/>
    <x v="1"/>
    <x v="2"/>
    <x v="2"/>
    <n v="3"/>
    <x v="4"/>
    <x v="12"/>
  </r>
  <r>
    <n v="955"/>
    <x v="37"/>
    <x v="954"/>
    <x v="0"/>
    <x v="26"/>
    <x v="1"/>
    <n v="1"/>
    <x v="3"/>
    <x v="16"/>
  </r>
  <r>
    <n v="956"/>
    <x v="304"/>
    <x v="955"/>
    <x v="0"/>
    <x v="4"/>
    <x v="1"/>
    <n v="3"/>
    <x v="1"/>
    <x v="9"/>
  </r>
  <r>
    <n v="957"/>
    <x v="196"/>
    <x v="956"/>
    <x v="1"/>
    <x v="43"/>
    <x v="2"/>
    <n v="4"/>
    <x v="2"/>
    <x v="10"/>
  </r>
  <r>
    <n v="958"/>
    <x v="132"/>
    <x v="957"/>
    <x v="0"/>
    <x v="17"/>
    <x v="2"/>
    <n v="2"/>
    <x v="3"/>
    <x v="5"/>
  </r>
  <r>
    <n v="959"/>
    <x v="28"/>
    <x v="958"/>
    <x v="1"/>
    <x v="13"/>
    <x v="2"/>
    <n v="2"/>
    <x v="2"/>
    <x v="17"/>
  </r>
  <r>
    <n v="960"/>
    <x v="102"/>
    <x v="959"/>
    <x v="0"/>
    <x v="42"/>
    <x v="1"/>
    <n v="2"/>
    <x v="2"/>
    <x v="17"/>
  </r>
  <r>
    <n v="961"/>
    <x v="264"/>
    <x v="960"/>
    <x v="0"/>
    <x v="45"/>
    <x v="0"/>
    <n v="4"/>
    <x v="0"/>
    <x v="7"/>
  </r>
  <r>
    <n v="962"/>
    <x v="218"/>
    <x v="961"/>
    <x v="0"/>
    <x v="24"/>
    <x v="1"/>
    <n v="2"/>
    <x v="2"/>
    <x v="17"/>
  </r>
  <r>
    <n v="963"/>
    <x v="220"/>
    <x v="962"/>
    <x v="1"/>
    <x v="28"/>
    <x v="0"/>
    <n v="1"/>
    <x v="0"/>
    <x v="5"/>
  </r>
  <r>
    <n v="964"/>
    <x v="169"/>
    <x v="963"/>
    <x v="0"/>
    <x v="46"/>
    <x v="1"/>
    <n v="3"/>
    <x v="4"/>
    <x v="12"/>
  </r>
  <r>
    <n v="965"/>
    <x v="289"/>
    <x v="964"/>
    <x v="0"/>
    <x v="11"/>
    <x v="1"/>
    <n v="4"/>
    <x v="0"/>
    <x v="7"/>
  </r>
  <r>
    <n v="966"/>
    <x v="189"/>
    <x v="965"/>
    <x v="0"/>
    <x v="43"/>
    <x v="2"/>
    <n v="2"/>
    <x v="1"/>
    <x v="1"/>
  </r>
  <r>
    <n v="967"/>
    <x v="342"/>
    <x v="966"/>
    <x v="0"/>
    <x v="17"/>
    <x v="0"/>
    <n v="1"/>
    <x v="3"/>
    <x v="16"/>
  </r>
  <r>
    <n v="968"/>
    <x v="131"/>
    <x v="967"/>
    <x v="1"/>
    <x v="27"/>
    <x v="1"/>
    <n v="3"/>
    <x v="4"/>
    <x v="12"/>
  </r>
  <r>
    <n v="969"/>
    <x v="90"/>
    <x v="968"/>
    <x v="1"/>
    <x v="30"/>
    <x v="1"/>
    <n v="3"/>
    <x v="4"/>
    <x v="12"/>
  </r>
  <r>
    <n v="970"/>
    <x v="42"/>
    <x v="969"/>
    <x v="0"/>
    <x v="42"/>
    <x v="2"/>
    <n v="4"/>
    <x v="1"/>
    <x v="11"/>
  </r>
  <r>
    <n v="971"/>
    <x v="59"/>
    <x v="970"/>
    <x v="1"/>
    <x v="15"/>
    <x v="2"/>
    <n v="4"/>
    <x v="0"/>
    <x v="7"/>
  </r>
  <r>
    <n v="972"/>
    <x v="213"/>
    <x v="971"/>
    <x v="0"/>
    <x v="19"/>
    <x v="0"/>
    <n v="4"/>
    <x v="3"/>
    <x v="4"/>
  </r>
  <r>
    <n v="973"/>
    <x v="125"/>
    <x v="972"/>
    <x v="0"/>
    <x v="43"/>
    <x v="1"/>
    <n v="1"/>
    <x v="0"/>
    <x v="5"/>
  </r>
  <r>
    <n v="974"/>
    <x v="143"/>
    <x v="973"/>
    <x v="0"/>
    <x v="16"/>
    <x v="0"/>
    <n v="1"/>
    <x v="2"/>
    <x v="2"/>
  </r>
  <r>
    <n v="975"/>
    <x v="343"/>
    <x v="974"/>
    <x v="1"/>
    <x v="37"/>
    <x v="1"/>
    <n v="4"/>
    <x v="0"/>
    <x v="7"/>
  </r>
  <r>
    <n v="976"/>
    <x v="49"/>
    <x v="975"/>
    <x v="1"/>
    <x v="27"/>
    <x v="0"/>
    <n v="2"/>
    <x v="4"/>
    <x v="6"/>
  </r>
  <r>
    <n v="977"/>
    <x v="195"/>
    <x v="976"/>
    <x v="1"/>
    <x v="10"/>
    <x v="2"/>
    <n v="3"/>
    <x v="3"/>
    <x v="8"/>
  </r>
  <r>
    <n v="978"/>
    <x v="125"/>
    <x v="977"/>
    <x v="1"/>
    <x v="45"/>
    <x v="1"/>
    <n v="3"/>
    <x v="0"/>
    <x v="0"/>
  </r>
  <r>
    <n v="979"/>
    <x v="126"/>
    <x v="978"/>
    <x v="1"/>
    <x v="14"/>
    <x v="0"/>
    <n v="1"/>
    <x v="3"/>
    <x v="16"/>
  </r>
  <r>
    <n v="980"/>
    <x v="277"/>
    <x v="979"/>
    <x v="1"/>
    <x v="33"/>
    <x v="2"/>
    <n v="3"/>
    <x v="3"/>
    <x v="8"/>
  </r>
  <r>
    <n v="981"/>
    <x v="304"/>
    <x v="980"/>
    <x v="1"/>
    <x v="4"/>
    <x v="2"/>
    <n v="2"/>
    <x v="2"/>
    <x v="17"/>
  </r>
  <r>
    <n v="982"/>
    <x v="80"/>
    <x v="981"/>
    <x v="1"/>
    <x v="6"/>
    <x v="0"/>
    <n v="3"/>
    <x v="2"/>
    <x v="15"/>
  </r>
  <r>
    <n v="983"/>
    <x v="215"/>
    <x v="982"/>
    <x v="1"/>
    <x v="38"/>
    <x v="1"/>
    <n v="1"/>
    <x v="4"/>
    <x v="13"/>
  </r>
  <r>
    <n v="984"/>
    <x v="261"/>
    <x v="983"/>
    <x v="0"/>
    <x v="37"/>
    <x v="1"/>
    <n v="1"/>
    <x v="1"/>
    <x v="3"/>
  </r>
  <r>
    <n v="985"/>
    <x v="337"/>
    <x v="984"/>
    <x v="1"/>
    <x v="14"/>
    <x v="2"/>
    <n v="2"/>
    <x v="3"/>
    <x v="5"/>
  </r>
  <r>
    <n v="986"/>
    <x v="13"/>
    <x v="985"/>
    <x v="1"/>
    <x v="19"/>
    <x v="1"/>
    <n v="2"/>
    <x v="1"/>
    <x v="1"/>
  </r>
  <r>
    <n v="987"/>
    <x v="310"/>
    <x v="986"/>
    <x v="1"/>
    <x v="4"/>
    <x v="1"/>
    <n v="3"/>
    <x v="4"/>
    <x v="12"/>
  </r>
  <r>
    <n v="988"/>
    <x v="344"/>
    <x v="987"/>
    <x v="1"/>
    <x v="7"/>
    <x v="1"/>
    <n v="3"/>
    <x v="3"/>
    <x v="8"/>
  </r>
  <r>
    <n v="989"/>
    <x v="251"/>
    <x v="988"/>
    <x v="1"/>
    <x v="24"/>
    <x v="2"/>
    <n v="1"/>
    <x v="3"/>
    <x v="16"/>
  </r>
  <r>
    <n v="990"/>
    <x v="242"/>
    <x v="989"/>
    <x v="1"/>
    <x v="26"/>
    <x v="0"/>
    <n v="2"/>
    <x v="1"/>
    <x v="1"/>
  </r>
  <r>
    <n v="991"/>
    <x v="24"/>
    <x v="990"/>
    <x v="1"/>
    <x v="0"/>
    <x v="1"/>
    <n v="2"/>
    <x v="0"/>
    <x v="4"/>
  </r>
  <r>
    <n v="992"/>
    <x v="63"/>
    <x v="991"/>
    <x v="1"/>
    <x v="35"/>
    <x v="2"/>
    <n v="2"/>
    <x v="2"/>
    <x v="17"/>
  </r>
  <r>
    <n v="993"/>
    <x v="74"/>
    <x v="992"/>
    <x v="1"/>
    <x v="27"/>
    <x v="2"/>
    <n v="3"/>
    <x v="0"/>
    <x v="0"/>
  </r>
  <r>
    <n v="994"/>
    <x v="244"/>
    <x v="993"/>
    <x v="1"/>
    <x v="25"/>
    <x v="0"/>
    <n v="2"/>
    <x v="1"/>
    <x v="1"/>
  </r>
  <r>
    <n v="995"/>
    <x v="17"/>
    <x v="994"/>
    <x v="1"/>
    <x v="41"/>
    <x v="1"/>
    <n v="1"/>
    <x v="2"/>
    <x v="2"/>
  </r>
  <r>
    <n v="996"/>
    <x v="42"/>
    <x v="995"/>
    <x v="0"/>
    <x v="17"/>
    <x v="1"/>
    <n v="1"/>
    <x v="0"/>
    <x v="5"/>
  </r>
  <r>
    <n v="997"/>
    <x v="131"/>
    <x v="996"/>
    <x v="0"/>
    <x v="8"/>
    <x v="0"/>
    <n v="3"/>
    <x v="2"/>
    <x v="15"/>
  </r>
  <r>
    <n v="998"/>
    <x v="28"/>
    <x v="997"/>
    <x v="1"/>
    <x v="9"/>
    <x v="0"/>
    <n v="4"/>
    <x v="3"/>
    <x v="4"/>
  </r>
  <r>
    <n v="999"/>
    <x v="59"/>
    <x v="998"/>
    <x v="1"/>
    <x v="32"/>
    <x v="2"/>
    <n v="3"/>
    <x v="0"/>
    <x v="0"/>
  </r>
  <r>
    <n v="1000"/>
    <x v="22"/>
    <x v="999"/>
    <x v="0"/>
    <x v="16"/>
    <x v="2"/>
    <n v="4"/>
    <x v="2"/>
    <x v="10"/>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34C535CD-A7B3-4CCD-96CA-7E71F2191A3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L3:M16" firstHeaderRow="1" firstDataRow="1" firstDataCol="1"/>
  <pivotFields count="12">
    <pivotField showAll="0"/>
    <pivotField axis="axisRow" dataField="1"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showAll="0">
      <items count="4">
        <item x="0"/>
        <item x="1"/>
        <item x="2"/>
        <item t="default"/>
      </items>
    </pivotField>
    <pivotField numFmtId="1" showAll="0"/>
    <pivotField numFmtId="1" showAll="0"/>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9"/>
    <field x="1"/>
  </rowFields>
  <rowItems count="13">
    <i>
      <x v="1"/>
    </i>
    <i>
      <x v="2"/>
    </i>
    <i>
      <x v="3"/>
    </i>
    <i>
      <x v="4"/>
    </i>
    <i>
      <x v="5"/>
    </i>
    <i>
      <x v="6"/>
    </i>
    <i>
      <x v="7"/>
    </i>
    <i>
      <x v="8"/>
    </i>
    <i>
      <x v="9"/>
    </i>
    <i>
      <x v="10"/>
    </i>
    <i>
      <x v="11"/>
    </i>
    <i>
      <x v="12"/>
    </i>
    <i t="grand">
      <x/>
    </i>
  </rowItems>
  <colItems count="1">
    <i/>
  </colItems>
  <dataFields count="1">
    <dataField name="Count of Date"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02EC318C-F2A4-4F27-9E84-DC08877D5D8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1003"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Row" dataField="1" showAll="0" sortType="ascending">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items count="3">
        <item x="1"/>
        <item x="0"/>
        <item t="default"/>
      </items>
    </pivotField>
    <pivotField numFmtId="1" showAll="0"/>
    <pivotField showAll="0">
      <items count="4">
        <item x="0"/>
        <item x="1"/>
        <item x="2"/>
        <item t="default"/>
      </items>
    </pivotField>
    <pivotField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FC146F1D-52BA-4637-BD8A-E47A7B38B9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F6" firstHeaderRow="0"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axis="axisRow" showAll="0">
      <items count="4">
        <item x="0"/>
        <item x="1"/>
        <item x="2"/>
        <item t="default"/>
      </items>
    </pivotField>
    <pivotField dataField="1"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Fields count="1">
    <field x="-2"/>
  </colFields>
  <colItems count="2">
    <i>
      <x/>
    </i>
    <i i="1">
      <x v="1"/>
    </i>
  </colItems>
  <dataFields count="2">
    <dataField name="Sum of Total Amount" fld="8" baseField="0" baseItem="0" numFmtId="165"/>
    <dataField name="Sum of Quantity" fld="6" baseField="0" baseItem="0" numFmtId="1"/>
  </dataFields>
  <formats count="2">
    <format dxfId="6">
      <pivotArea outline="0" collapsedLevelsAreSubtotals="1" fieldPosition="0"/>
    </format>
    <format dxfId="5">
      <pivotArea outline="0" collapsedLevelsAreSubtotals="1" fieldPosition="0">
        <references count="1">
          <reference field="4294967294" count="1" selected="0">
            <x v="0"/>
          </reference>
        </references>
      </pivotArea>
    </format>
  </formats>
  <chartFormats count="8">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5" count="1" selected="0">
            <x v="0"/>
          </reference>
        </references>
      </pivotArea>
    </chartFormat>
    <chartFormat chart="6" format="16">
      <pivotArea type="data" outline="0" fieldPosition="0">
        <references count="2">
          <reference field="4294967294" count="1" selected="0">
            <x v="1"/>
          </reference>
          <reference field="5" count="1" selected="0">
            <x v="1"/>
          </reference>
        </references>
      </pivotArea>
    </chartFormat>
    <chartFormat chart="6" format="17">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25CFFBC8-C625-404B-9C72-81C66EEBA0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X21"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showAll="0">
      <items count="4">
        <item x="0"/>
        <item x="1"/>
        <item x="2"/>
        <item t="default"/>
      </items>
    </pivotField>
    <pivotField numFmtId="1" showAll="0"/>
    <pivotField numFmtId="1" showAll="0"/>
    <pivotField axis="axisRow" dataField="1" numFmtId="1" showAll="0">
      <items count="19">
        <item x="16"/>
        <item x="2"/>
        <item x="5"/>
        <item x="17"/>
        <item x="8"/>
        <item x="15"/>
        <item x="4"/>
        <item x="10"/>
        <item x="0"/>
        <item x="7"/>
        <item x="13"/>
        <item x="3"/>
        <item x="6"/>
        <item x="12"/>
        <item x="1"/>
        <item x="14"/>
        <item x="9"/>
        <item x="11"/>
        <item t="default"/>
      </items>
    </pivotField>
    <pivotField showAll="0" defaultSubtotal="0"/>
    <pivotField showAll="0" defaultSubtotal="0"/>
    <pivotField showAll="0" defaultSubtotal="0">
      <items count="4">
        <item x="0"/>
        <item x="1"/>
        <item x="2"/>
        <item x="3"/>
      </items>
    </pivotField>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otal Amount" fld="8" subtotal="count" baseField="8" baseItem="0"/>
  </dataFields>
  <formats count="1">
    <format dxfId="7">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3EC52E2D-DAFE-450F-A9E0-9CD2BA9E62D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T2:U8"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showAll="0">
      <items count="4">
        <item x="0"/>
        <item x="1"/>
        <item x="2"/>
        <item t="default"/>
      </items>
    </pivotField>
    <pivotField dataField="1" numFmtId="1" showAll="0"/>
    <pivotField axis="axisRow" numFmtId="166" showAll="0">
      <items count="6">
        <item x="3"/>
        <item x="2"/>
        <item x="0"/>
        <item x="4"/>
        <item x="1"/>
        <item t="default"/>
      </items>
    </pivotField>
    <pivotField numFmtId="1" showAll="0"/>
    <pivotField showAll="0" defaultSubtotal="0"/>
    <pivotField showAll="0" defaultSubtotal="0"/>
    <pivotField showAll="0" defaultSubtotal="0">
      <items count="4">
        <item x="0"/>
        <item x="1"/>
        <item x="2"/>
        <item x="3"/>
      </items>
    </pivotField>
  </pivotFields>
  <rowFields count="1">
    <field x="7"/>
  </rowFields>
  <rowItems count="6">
    <i>
      <x/>
    </i>
    <i>
      <x v="1"/>
    </i>
    <i>
      <x v="2"/>
    </i>
    <i>
      <x v="3"/>
    </i>
    <i>
      <x v="4"/>
    </i>
    <i t="grand">
      <x/>
    </i>
  </rowItems>
  <colItems count="1">
    <i/>
  </colItems>
  <dataFields count="1">
    <dataField name="Sum of Quantity" fld="6" baseField="0" baseItem="0" numFmtId="1"/>
  </dataFields>
  <formats count="1">
    <format dxfId="8">
      <pivotArea dataOnly="0" labelOnly="1" fieldPosition="0">
        <references count="1">
          <reference field="7" count="0"/>
        </references>
      </pivotArea>
    </format>
  </formats>
  <chartFormats count="6">
    <chartFormat chart="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1D80BA4C-0454-43A2-9F8F-ADB4A19B95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5"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dataField="1" showAll="0">
      <items count="3">
        <item x="1"/>
        <item x="0"/>
        <item t="default"/>
      </items>
    </pivotField>
    <pivotField numFmtId="1" showAll="0"/>
    <pivotField showAll="0">
      <items count="4">
        <item x="0"/>
        <item x="1"/>
        <item x="2"/>
        <item t="default"/>
      </items>
    </pivotField>
    <pivotField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Count of Gender" fld="3" subtotal="count" baseField="0" baseItem="0"/>
  </dataFields>
  <chartFormats count="3">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249E939E-1747-496F-95C6-E031DFB0459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O2:R14" firstHeaderRow="1" firstDataRow="2"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showAll="0">
      <items count="3">
        <item x="1"/>
        <item x="0"/>
        <item t="default"/>
      </items>
    </pivotField>
    <pivotField axis="axisRow" dataField="1" numFmtId="1" showAll="0">
      <items count="13">
        <item x="0"/>
        <item x="1"/>
        <item x="2"/>
        <item x="3"/>
        <item x="4"/>
        <item x="5"/>
        <item x="6"/>
        <item x="7"/>
        <item x="8"/>
        <item x="9"/>
        <item x="10"/>
        <item x="11"/>
        <item t="default"/>
      </items>
    </pivotField>
    <pivotField showAll="0">
      <items count="4">
        <item x="0"/>
        <item x="1"/>
        <item x="2"/>
        <item t="default"/>
      </items>
    </pivotField>
    <pivotField numFmtId="1" showAll="0"/>
    <pivotField numFmtId="1" showAll="0"/>
    <pivotField numFmtId="1" showAll="0"/>
    <pivotField showAll="0" defaultSubtotal="0"/>
    <pivotField showAll="0" defaultSubtotal="0"/>
    <pivotField showAll="0" defaultSubtotal="0">
      <items count="4">
        <item x="0"/>
        <item x="1"/>
        <item x="2"/>
        <item x="3"/>
      </items>
    </pivotField>
  </pivotFields>
  <rowFields count="1">
    <field x="4"/>
  </rowFields>
  <rowItems count="11">
    <i>
      <x v="1"/>
    </i>
    <i>
      <x v="2"/>
    </i>
    <i>
      <x v="3"/>
    </i>
    <i>
      <x v="4"/>
    </i>
    <i>
      <x v="5"/>
    </i>
    <i>
      <x v="6"/>
    </i>
    <i>
      <x v="7"/>
    </i>
    <i>
      <x v="8"/>
    </i>
    <i>
      <x v="9"/>
    </i>
    <i>
      <x v="10"/>
    </i>
    <i t="grand">
      <x/>
    </i>
  </rowItems>
  <colFields count="1">
    <field x="3"/>
  </colFields>
  <colItems count="3">
    <i>
      <x/>
    </i>
    <i>
      <x v="1"/>
    </i>
    <i t="grand">
      <x/>
    </i>
  </colItems>
  <dataFields count="1">
    <dataField name="Count of Age" fld="4" subtotal="count" baseField="4" baseItem="0"/>
  </dataFields>
  <chartFormats count="4">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20" format="4"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Product_Category" xr10:uid="{C08D5C6E-A0D8-48FA-A281-34E04D2653DC}" sourceName="Product Category">
  <pivotTables>
    <pivotTable tabId="2" name="PivotTable1"/>
    <pivotTable tabId="2" name="PivotTable2"/>
    <pivotTable tabId="2" name="PivotTable6"/>
    <pivotTable tabId="2" name="PivotTable7"/>
    <pivotTable tabId="2" name="PivotTable8"/>
    <pivotTable tabId="2" name="PivotTable4"/>
    <pivotTable tabId="2" name="PivotTable9"/>
  </pivotTables>
  <data>
    <tabular pivotCacheId="209942277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Gender" xr10:uid="{4A57046C-1646-4F01-9E68-8BF7C9F34966}" sourceName="Gender">
  <pivotTables>
    <pivotTable tabId="2" name="PivotTable1"/>
    <pivotTable tabId="2" name="PivotTable2"/>
    <pivotTable tabId="2" name="PivotTable6"/>
    <pivotTable tabId="2" name="PivotTable7"/>
    <pivotTable tabId="2" name="PivotTable8"/>
    <pivotTable tabId="2" name="PivotTable4"/>
    <pivotTable tabId="2" name="PivotTable9"/>
  </pivotTables>
  <data>
    <tabular pivotCacheId="2099422778">
      <items count="2">
        <i x="1" s="1"/>
        <i x="0"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Product Category 1" xr10:uid="{E1AF3731-622E-4A55-8E5C-8EDA777146EB}" cache="Slicer_Product_Category" caption="Product Category" rowHeight="257175"/>
  <slicer name="Gender 1" xr10:uid="{4F143508-98DF-410A-8F1F-FE107109A9F4}" cache="Slicer_Gender" caption="Gender" rowHeight="257175"/>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Product Category" xr10:uid="{76B96A81-0BD8-4E96-94AE-C02FA23B8FD2}" cache="Slicer_Product_Category" caption="Product Category" rowHeight="257175"/>
  <slicer name="Gender" xr10:uid="{F2EFBAC3-E707-4F19-8A54-9EA7CD556F1B}" cache="Slicer_Gender" caption="Gender" rowHeight="257175"/>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DD6C354-F8AB-4FDB-8E69-E40E18288384}" name="Table1" displayName="Table1" ref="A1:I1001" totalsRowShown="0">
  <autoFilter ref="A1:I1001" xr:uid="{0DD6C354-F8AB-4FDB-8E69-E40E18288384}"/>
  <tableColumns count="9">
    <tableColumn id="1" xr3:uid="{CEF6C1D7-F50C-4927-842B-8ECEEC5662BE}" name="Transaction ID"/>
    <tableColumn id="2" xr3:uid="{FAD1D59A-09CC-49EF-9B37-6C8C8239612D}" name="Date" dataDxfId="4"/>
    <tableColumn id="3" xr3:uid="{FB00A20E-F53A-4AF1-9E52-894D5F8949F0}" name="Customer ID"/>
    <tableColumn id="4" xr3:uid="{B4A876DE-592E-4D72-B6CF-658B992F32FE}" name="Gender"/>
    <tableColumn id="5" xr3:uid="{DA9A6203-2CB6-4025-93C0-AE70AE29D7FF}" name="Age" dataDxfId="3"/>
    <tableColumn id="6" xr3:uid="{457F6B7C-5433-44E7-9BCB-480F9BB6DDB0}" name="Product Category"/>
    <tableColumn id="7" xr3:uid="{DE311FF7-2A86-48EC-B0D9-1661A4D15996}" name="Quantity" dataDxfId="2"/>
    <tableColumn id="8" xr3:uid="{E19FC478-72C7-419B-8558-38C03FC80C9D}" name="Price per Unit" dataDxfId="1" dataCellStyle="Currency"/>
    <tableColumn id="9" xr3:uid="{45FB37C6-9F63-4114-9E14-00ADE457CDCB}" name="Total Amount" dataDxfId="0"/>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1.xml"/></Relationships>
</file>

<file path=xl/worksheets/_rels/sheet2.xml.rels><?xml version="1.0" encoding="UTF-8" standalone="yes"?>
<Relationships xmlns="http://schemas.openxmlformats.org/package/2006/relationships"><Relationship Id="rId8" Type="http://purl.oclc.org/ooxml/officeDocument/relationships/drawing" Target="../drawings/drawing2.xml"/><Relationship Id="rId3" Type="http://purl.oclc.org/ooxml/officeDocument/relationships/pivotTable" Target="../pivotTables/pivotTable3.xml"/><Relationship Id="rId7" Type="http://purl.oclc.org/ooxml/officeDocument/relationships/pivotTable" Target="../pivotTables/pivotTable7.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5" Type="http://purl.oclc.org/ooxml/officeDocument/relationships/pivotTable" Target="../pivotTables/pivotTable5.xml"/><Relationship Id="rId4" Type="http://purl.oclc.org/ooxml/officeDocument/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purl.oclc.org/ooxml/officeDocument/relationships/table" Target="../tables/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D1DF7-0C67-49E6-A7CA-1DF31F779E67}">
  <dimension ref="A1"/>
  <sheetViews>
    <sheetView tabSelected="1" workbookViewId="0">
      <selection activeCell="G32" sqref="G32"/>
    </sheetView>
  </sheetViews>
  <sheetFormatPr defaultRowHeight="15" x14ac:dyDescent="0.25"/>
  <cols>
    <col min="1" max="1" width="21.85546875" style="5" customWidth="1"/>
    <col min="2"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E466A-CBFE-48B5-AA84-A13343BA5FD2}">
  <dimension ref="A2:X1003"/>
  <sheetViews>
    <sheetView topLeftCell="P1" workbookViewId="0">
      <selection activeCell="Z10" sqref="Z10"/>
    </sheetView>
  </sheetViews>
  <sheetFormatPr defaultRowHeight="15" x14ac:dyDescent="0.25"/>
  <cols>
    <col min="1" max="1" width="13.42578125" bestFit="1" customWidth="1"/>
    <col min="2" max="2" width="16.140625" bestFit="1" customWidth="1"/>
    <col min="4" max="4" width="13.42578125" bestFit="1" customWidth="1"/>
    <col min="5" max="5" width="19.85546875" bestFit="1" customWidth="1"/>
    <col min="6" max="6" width="15.5703125" bestFit="1" customWidth="1"/>
    <col min="7" max="7" width="14" customWidth="1"/>
    <col min="8" max="8" width="13.42578125" bestFit="1" customWidth="1"/>
    <col min="9" max="9" width="21" bestFit="1" customWidth="1"/>
    <col min="10" max="10" width="13.42578125" bestFit="1" customWidth="1"/>
    <col min="11" max="11" width="21" bestFit="1" customWidth="1"/>
    <col min="12" max="12" width="13.42578125" bestFit="1" customWidth="1"/>
    <col min="13" max="13" width="13.7109375" bestFit="1" customWidth="1"/>
    <col min="14" max="14" width="16.140625" bestFit="1" customWidth="1"/>
    <col min="15" max="15" width="13.42578125" bestFit="1" customWidth="1"/>
    <col min="16" max="16" width="16.85546875" bestFit="1" customWidth="1"/>
    <col min="17" max="17" width="5.28515625" bestFit="1" customWidth="1"/>
    <col min="18" max="18" width="11.28515625" bestFit="1" customWidth="1"/>
    <col min="20" max="20" width="13.42578125" bestFit="1" customWidth="1"/>
    <col min="21" max="21" width="15.5703125" bestFit="1" customWidth="1"/>
    <col min="23" max="23" width="13.42578125" bestFit="1" customWidth="1"/>
    <col min="24" max="24" width="21.5703125" bestFit="1" customWidth="1"/>
    <col min="25" max="33" width="6" bestFit="1" customWidth="1"/>
    <col min="34" max="34" width="11.28515625" bestFit="1" customWidth="1"/>
    <col min="35" max="35" width="7.140625" bestFit="1" customWidth="1"/>
    <col min="36" max="44" width="6" bestFit="1" customWidth="1"/>
    <col min="45" max="45" width="10.140625" bestFit="1" customWidth="1"/>
    <col min="46" max="46" width="11.28515625" bestFit="1" customWidth="1"/>
    <col min="47" max="47" width="13.85546875" bestFit="1" customWidth="1"/>
    <col min="48" max="48" width="10.7109375" bestFit="1" customWidth="1"/>
    <col min="49" max="49" width="13.85546875" bestFit="1" customWidth="1"/>
    <col min="50" max="50" width="10.7109375" bestFit="1" customWidth="1"/>
    <col min="51" max="51" width="13.85546875" bestFit="1" customWidth="1"/>
    <col min="52" max="52" width="10.7109375" bestFit="1" customWidth="1"/>
    <col min="53" max="53" width="13.85546875" bestFit="1" customWidth="1"/>
    <col min="54" max="54" width="10.7109375" bestFit="1" customWidth="1"/>
    <col min="55" max="55" width="13.85546875" bestFit="1" customWidth="1"/>
    <col min="56" max="56" width="10.7109375" bestFit="1" customWidth="1"/>
    <col min="57" max="57" width="13.85546875" bestFit="1" customWidth="1"/>
    <col min="58" max="58" width="10.7109375" bestFit="1" customWidth="1"/>
    <col min="59" max="59" width="13.85546875" bestFit="1" customWidth="1"/>
    <col min="60" max="60" width="10.7109375" bestFit="1" customWidth="1"/>
    <col min="61" max="61" width="13.85546875" bestFit="1" customWidth="1"/>
    <col min="62" max="62" width="10.7109375" bestFit="1" customWidth="1"/>
    <col min="63" max="63" width="13.85546875" bestFit="1" customWidth="1"/>
    <col min="64" max="64" width="10.7109375" bestFit="1" customWidth="1"/>
    <col min="65" max="65" width="13.85546875" bestFit="1" customWidth="1"/>
    <col min="66" max="66" width="10.7109375" bestFit="1" customWidth="1"/>
    <col min="67" max="67" width="13.85546875" bestFit="1" customWidth="1"/>
    <col min="68" max="68" width="10.7109375" bestFit="1" customWidth="1"/>
    <col min="69" max="69" width="13.85546875" bestFit="1" customWidth="1"/>
    <col min="70" max="70" width="10.7109375" bestFit="1" customWidth="1"/>
    <col min="71" max="71" width="13.85546875" bestFit="1" customWidth="1"/>
    <col min="72" max="72" width="10.7109375" bestFit="1" customWidth="1"/>
    <col min="73" max="73" width="13.85546875" bestFit="1" customWidth="1"/>
    <col min="74" max="74" width="10.7109375" bestFit="1" customWidth="1"/>
    <col min="75" max="75" width="13.85546875" bestFit="1" customWidth="1"/>
    <col min="76" max="76" width="10.7109375" bestFit="1" customWidth="1"/>
    <col min="77" max="77" width="13.85546875" bestFit="1" customWidth="1"/>
    <col min="78" max="78" width="10.7109375" bestFit="1" customWidth="1"/>
    <col min="79" max="79" width="13.85546875" bestFit="1" customWidth="1"/>
    <col min="80" max="80" width="10.7109375" bestFit="1" customWidth="1"/>
    <col min="81" max="81" width="13.85546875" bestFit="1" customWidth="1"/>
    <col min="82" max="82" width="10.7109375" bestFit="1" customWidth="1"/>
    <col min="83" max="83" width="13.85546875" bestFit="1" customWidth="1"/>
    <col min="84" max="84" width="10.7109375" bestFit="1" customWidth="1"/>
    <col min="85" max="85" width="13.85546875" bestFit="1" customWidth="1"/>
    <col min="86" max="86" width="10.7109375" bestFit="1" customWidth="1"/>
    <col min="87" max="87" width="13.85546875" bestFit="1" customWidth="1"/>
    <col min="88" max="88" width="10.7109375" bestFit="1" customWidth="1"/>
    <col min="89" max="89" width="13.85546875" bestFit="1" customWidth="1"/>
    <col min="90" max="90" width="10.7109375" bestFit="1" customWidth="1"/>
    <col min="91" max="91" width="13.85546875" bestFit="1" customWidth="1"/>
    <col min="92" max="92" width="10.7109375" bestFit="1" customWidth="1"/>
    <col min="93" max="93" width="13.85546875" bestFit="1" customWidth="1"/>
    <col min="94" max="94" width="10.7109375" bestFit="1" customWidth="1"/>
    <col min="95" max="95" width="13.85546875" bestFit="1" customWidth="1"/>
    <col min="96" max="96" width="10.7109375" bestFit="1" customWidth="1"/>
    <col min="97" max="97" width="13.85546875" bestFit="1" customWidth="1"/>
    <col min="98" max="98" width="10.7109375" bestFit="1" customWidth="1"/>
    <col min="99" max="99" width="13.85546875" bestFit="1" customWidth="1"/>
    <col min="100" max="100" width="10.7109375" bestFit="1" customWidth="1"/>
    <col min="101" max="101" width="13.85546875" bestFit="1" customWidth="1"/>
    <col min="102" max="102" width="10.7109375" bestFit="1" customWidth="1"/>
    <col min="103" max="103" width="13.85546875" bestFit="1" customWidth="1"/>
    <col min="104" max="104" width="10.7109375" bestFit="1" customWidth="1"/>
    <col min="105" max="105" width="13.85546875" bestFit="1" customWidth="1"/>
    <col min="106" max="106" width="10.7109375" bestFit="1" customWidth="1"/>
    <col min="107" max="107" width="13.85546875" bestFit="1" customWidth="1"/>
    <col min="108" max="108" width="10.7109375" bestFit="1" customWidth="1"/>
    <col min="109" max="109" width="13.85546875" bestFit="1" customWidth="1"/>
    <col min="110" max="110" width="10.7109375" bestFit="1" customWidth="1"/>
    <col min="111" max="111" width="13.85546875" bestFit="1" customWidth="1"/>
    <col min="112" max="112" width="10.7109375" bestFit="1" customWidth="1"/>
    <col min="113" max="113" width="13.85546875" bestFit="1" customWidth="1"/>
    <col min="114" max="114" width="10.7109375" bestFit="1" customWidth="1"/>
    <col min="115" max="115" width="13.85546875" bestFit="1" customWidth="1"/>
    <col min="116" max="116" width="10.7109375" bestFit="1" customWidth="1"/>
    <col min="117" max="117" width="13.85546875" bestFit="1" customWidth="1"/>
    <col min="118" max="118" width="10.7109375" bestFit="1" customWidth="1"/>
    <col min="119" max="119" width="13.85546875" bestFit="1" customWidth="1"/>
    <col min="120" max="120" width="10.7109375" bestFit="1" customWidth="1"/>
    <col min="121" max="121" width="13.85546875" bestFit="1" customWidth="1"/>
    <col min="122" max="122" width="10.7109375" bestFit="1" customWidth="1"/>
    <col min="123" max="123" width="13.85546875" bestFit="1" customWidth="1"/>
    <col min="124" max="124" width="10.7109375" bestFit="1" customWidth="1"/>
    <col min="125" max="125" width="13.85546875" bestFit="1" customWidth="1"/>
    <col min="126" max="126" width="10.7109375" bestFit="1" customWidth="1"/>
    <col min="127" max="127" width="13.85546875" bestFit="1" customWidth="1"/>
    <col min="128" max="128" width="10.7109375" bestFit="1" customWidth="1"/>
    <col min="129" max="129" width="13.85546875" bestFit="1" customWidth="1"/>
    <col min="130" max="130" width="10.7109375" bestFit="1" customWidth="1"/>
    <col min="131" max="131" width="13.85546875" bestFit="1" customWidth="1"/>
    <col min="132" max="132" width="10.7109375" bestFit="1" customWidth="1"/>
    <col min="133" max="133" width="13.85546875" bestFit="1" customWidth="1"/>
    <col min="134" max="134" width="10.7109375" bestFit="1" customWidth="1"/>
    <col min="135" max="135" width="13.85546875" bestFit="1" customWidth="1"/>
    <col min="136" max="136" width="10.7109375" bestFit="1" customWidth="1"/>
    <col min="137" max="137" width="13.85546875" bestFit="1" customWidth="1"/>
    <col min="138" max="138" width="10.7109375" bestFit="1" customWidth="1"/>
    <col min="139" max="139" width="13.85546875" bestFit="1" customWidth="1"/>
    <col min="140" max="140" width="10.7109375" bestFit="1" customWidth="1"/>
    <col min="141" max="141" width="13.85546875" bestFit="1" customWidth="1"/>
    <col min="142" max="142" width="10.7109375" bestFit="1" customWidth="1"/>
    <col min="143" max="143" width="13.85546875" bestFit="1" customWidth="1"/>
    <col min="144" max="144" width="10.7109375" bestFit="1" customWidth="1"/>
    <col min="145" max="145" width="13.85546875" bestFit="1" customWidth="1"/>
    <col min="146" max="146" width="10.7109375" bestFit="1" customWidth="1"/>
    <col min="147" max="147" width="13.85546875" bestFit="1" customWidth="1"/>
    <col min="148" max="148" width="10.7109375" bestFit="1" customWidth="1"/>
    <col min="149" max="149" width="13.85546875" bestFit="1" customWidth="1"/>
    <col min="150" max="150" width="10.7109375" bestFit="1" customWidth="1"/>
    <col min="151" max="151" width="13.85546875" bestFit="1" customWidth="1"/>
    <col min="152" max="152" width="10.7109375" bestFit="1" customWidth="1"/>
    <col min="153" max="153" width="13.85546875" bestFit="1" customWidth="1"/>
    <col min="154" max="154" width="10.7109375" bestFit="1" customWidth="1"/>
    <col min="155" max="155" width="13.85546875" bestFit="1" customWidth="1"/>
    <col min="156" max="156" width="10.7109375" bestFit="1" customWidth="1"/>
    <col min="157" max="157" width="13.85546875" bestFit="1" customWidth="1"/>
    <col min="158" max="158" width="10.7109375" bestFit="1" customWidth="1"/>
    <col min="159" max="159" width="13.85546875" bestFit="1" customWidth="1"/>
    <col min="160" max="160" width="10.7109375" bestFit="1" customWidth="1"/>
    <col min="161" max="161" width="13.85546875" bestFit="1" customWidth="1"/>
    <col min="162" max="162" width="10.7109375" bestFit="1" customWidth="1"/>
    <col min="163" max="163" width="13.85546875" bestFit="1" customWidth="1"/>
    <col min="164" max="164" width="10.7109375" bestFit="1" customWidth="1"/>
    <col min="165" max="165" width="13.85546875" bestFit="1" customWidth="1"/>
    <col min="166" max="166" width="10.7109375" bestFit="1" customWidth="1"/>
    <col min="167" max="167" width="13.85546875" bestFit="1" customWidth="1"/>
    <col min="168" max="168" width="10.7109375" bestFit="1" customWidth="1"/>
    <col min="169" max="169" width="13.85546875" bestFit="1" customWidth="1"/>
    <col min="170" max="170" width="10.7109375" bestFit="1" customWidth="1"/>
    <col min="171" max="171" width="13.85546875" bestFit="1" customWidth="1"/>
    <col min="172" max="172" width="10.7109375" bestFit="1" customWidth="1"/>
    <col min="173" max="173" width="13.85546875" bestFit="1" customWidth="1"/>
    <col min="174" max="174" width="10.7109375" bestFit="1" customWidth="1"/>
    <col min="175" max="175" width="13.85546875" bestFit="1" customWidth="1"/>
    <col min="176" max="176" width="10.7109375" bestFit="1" customWidth="1"/>
    <col min="177" max="177" width="13.85546875" bestFit="1" customWidth="1"/>
    <col min="178" max="178" width="10.7109375" bestFit="1" customWidth="1"/>
    <col min="179" max="179" width="13.85546875" bestFit="1" customWidth="1"/>
    <col min="180" max="180" width="10.7109375" bestFit="1" customWidth="1"/>
    <col min="181" max="181" width="13.85546875" bestFit="1" customWidth="1"/>
    <col min="182" max="182" width="10.7109375" bestFit="1" customWidth="1"/>
    <col min="183" max="183" width="13.85546875" bestFit="1" customWidth="1"/>
    <col min="184" max="184" width="10.7109375" bestFit="1" customWidth="1"/>
    <col min="185" max="185" width="13.85546875" bestFit="1" customWidth="1"/>
    <col min="186" max="186" width="10.7109375" bestFit="1" customWidth="1"/>
    <col min="187" max="187" width="13.85546875" bestFit="1" customWidth="1"/>
    <col min="188" max="188" width="10.7109375" bestFit="1" customWidth="1"/>
    <col min="189" max="189" width="13.85546875" bestFit="1" customWidth="1"/>
    <col min="190" max="190" width="10.7109375" bestFit="1" customWidth="1"/>
    <col min="191" max="191" width="13.85546875" bestFit="1" customWidth="1"/>
    <col min="192" max="192" width="10.7109375" bestFit="1" customWidth="1"/>
    <col min="193" max="193" width="13.85546875" bestFit="1" customWidth="1"/>
    <col min="194" max="194" width="10.7109375" bestFit="1" customWidth="1"/>
    <col min="195" max="195" width="13.85546875" bestFit="1" customWidth="1"/>
    <col min="196" max="196" width="10.7109375" bestFit="1" customWidth="1"/>
    <col min="197" max="197" width="13.85546875" bestFit="1" customWidth="1"/>
    <col min="198" max="198" width="10.7109375" bestFit="1" customWidth="1"/>
    <col min="199" max="199" width="13.85546875" bestFit="1" customWidth="1"/>
    <col min="200" max="200" width="10.7109375" bestFit="1" customWidth="1"/>
    <col min="201" max="201" width="13.85546875" bestFit="1" customWidth="1"/>
    <col min="202" max="202" width="10.7109375" bestFit="1" customWidth="1"/>
    <col min="203" max="203" width="13.85546875" bestFit="1" customWidth="1"/>
    <col min="204" max="204" width="10.7109375" bestFit="1" customWidth="1"/>
    <col min="205" max="205" width="13.85546875" bestFit="1" customWidth="1"/>
    <col min="206" max="206" width="10.7109375" bestFit="1" customWidth="1"/>
    <col min="207" max="207" width="13.85546875" bestFit="1" customWidth="1"/>
    <col min="208" max="208" width="10.7109375" bestFit="1" customWidth="1"/>
    <col min="209" max="209" width="13.85546875" bestFit="1" customWidth="1"/>
    <col min="210" max="210" width="10.7109375" bestFit="1" customWidth="1"/>
    <col min="211" max="211" width="13.85546875" bestFit="1" customWidth="1"/>
    <col min="212" max="212" width="10.7109375" bestFit="1" customWidth="1"/>
    <col min="213" max="213" width="13.85546875" bestFit="1" customWidth="1"/>
    <col min="214" max="214" width="10.7109375" bestFit="1" customWidth="1"/>
    <col min="215" max="215" width="13.85546875" bestFit="1" customWidth="1"/>
    <col min="216" max="216" width="10.7109375" bestFit="1" customWidth="1"/>
    <col min="217" max="217" width="13.85546875" bestFit="1" customWidth="1"/>
    <col min="218" max="218" width="10.7109375" bestFit="1" customWidth="1"/>
    <col min="219" max="219" width="13.85546875" bestFit="1" customWidth="1"/>
    <col min="220" max="220" width="10.7109375" bestFit="1" customWidth="1"/>
    <col min="221" max="221" width="13.85546875" bestFit="1" customWidth="1"/>
    <col min="222" max="222" width="10.7109375" bestFit="1" customWidth="1"/>
    <col min="223" max="223" width="13.85546875" bestFit="1" customWidth="1"/>
    <col min="224" max="224" width="10.7109375" bestFit="1" customWidth="1"/>
    <col min="225" max="225" width="13.85546875" bestFit="1" customWidth="1"/>
    <col min="226" max="226" width="10.7109375" bestFit="1" customWidth="1"/>
    <col min="227" max="227" width="13.85546875" bestFit="1" customWidth="1"/>
    <col min="228" max="228" width="10.7109375" bestFit="1" customWidth="1"/>
    <col min="229" max="229" width="13.85546875" bestFit="1" customWidth="1"/>
    <col min="230" max="230" width="10.7109375" bestFit="1" customWidth="1"/>
    <col min="231" max="231" width="13.85546875" bestFit="1" customWidth="1"/>
    <col min="232" max="232" width="10.7109375" bestFit="1" customWidth="1"/>
    <col min="233" max="233" width="13.85546875" bestFit="1" customWidth="1"/>
    <col min="234" max="234" width="10.7109375" bestFit="1" customWidth="1"/>
    <col min="235" max="235" width="13.85546875" bestFit="1" customWidth="1"/>
    <col min="236" max="236" width="10.7109375" bestFit="1" customWidth="1"/>
    <col min="237" max="237" width="13.85546875" bestFit="1" customWidth="1"/>
    <col min="238" max="238" width="10.7109375" bestFit="1" customWidth="1"/>
    <col min="239" max="239" width="13.85546875" bestFit="1" customWidth="1"/>
    <col min="240" max="240" width="10.7109375" bestFit="1" customWidth="1"/>
    <col min="241" max="241" width="13.85546875" bestFit="1" customWidth="1"/>
    <col min="242" max="242" width="10.7109375" bestFit="1" customWidth="1"/>
    <col min="243" max="243" width="13.85546875" bestFit="1" customWidth="1"/>
    <col min="244" max="244" width="10.7109375" bestFit="1" customWidth="1"/>
    <col min="245" max="245" width="13.85546875" bestFit="1" customWidth="1"/>
    <col min="246" max="246" width="10.7109375" bestFit="1" customWidth="1"/>
    <col min="247" max="247" width="13.85546875" bestFit="1" customWidth="1"/>
    <col min="248" max="248" width="10.7109375" bestFit="1" customWidth="1"/>
    <col min="249" max="249" width="13.85546875" bestFit="1" customWidth="1"/>
    <col min="250" max="250" width="10.7109375" bestFit="1" customWidth="1"/>
    <col min="251" max="251" width="13.85546875" bestFit="1" customWidth="1"/>
    <col min="252" max="252" width="10.7109375" bestFit="1" customWidth="1"/>
    <col min="253" max="253" width="13.85546875" bestFit="1" customWidth="1"/>
    <col min="254" max="254" width="10.7109375" bestFit="1" customWidth="1"/>
    <col min="255" max="255" width="13.85546875" bestFit="1" customWidth="1"/>
    <col min="256" max="256" width="10.7109375" bestFit="1" customWidth="1"/>
    <col min="257" max="257" width="13.85546875" bestFit="1" customWidth="1"/>
    <col min="258" max="258" width="10.7109375" bestFit="1" customWidth="1"/>
    <col min="259" max="259" width="13.85546875" bestFit="1" customWidth="1"/>
    <col min="260" max="260" width="10.7109375" bestFit="1" customWidth="1"/>
    <col min="261" max="261" width="13.85546875" bestFit="1" customWidth="1"/>
    <col min="262" max="262" width="10.7109375" bestFit="1" customWidth="1"/>
    <col min="263" max="263" width="13.85546875" bestFit="1" customWidth="1"/>
    <col min="264" max="264" width="10.7109375" bestFit="1" customWidth="1"/>
    <col min="265" max="265" width="13.85546875" bestFit="1" customWidth="1"/>
    <col min="266" max="266" width="10.7109375" bestFit="1" customWidth="1"/>
    <col min="267" max="267" width="13.85546875" bestFit="1" customWidth="1"/>
    <col min="268" max="268" width="10.7109375" bestFit="1" customWidth="1"/>
    <col min="269" max="269" width="13.85546875" bestFit="1" customWidth="1"/>
    <col min="270" max="270" width="10.7109375" bestFit="1" customWidth="1"/>
    <col min="271" max="271" width="13.85546875" bestFit="1" customWidth="1"/>
    <col min="272" max="272" width="10.7109375" bestFit="1" customWidth="1"/>
    <col min="273" max="273" width="13.85546875" bestFit="1" customWidth="1"/>
    <col min="274" max="274" width="10.7109375" bestFit="1" customWidth="1"/>
    <col min="275" max="275" width="13.85546875" bestFit="1" customWidth="1"/>
    <col min="276" max="276" width="10.7109375" bestFit="1" customWidth="1"/>
    <col min="277" max="277" width="13.85546875" bestFit="1" customWidth="1"/>
    <col min="278" max="278" width="10.7109375" bestFit="1" customWidth="1"/>
    <col min="279" max="279" width="13.85546875" bestFit="1" customWidth="1"/>
    <col min="280" max="280" width="10.7109375" bestFit="1" customWidth="1"/>
    <col min="281" max="281" width="13.85546875" bestFit="1" customWidth="1"/>
    <col min="282" max="282" width="10.7109375" bestFit="1" customWidth="1"/>
    <col min="283" max="283" width="13.85546875" bestFit="1" customWidth="1"/>
    <col min="284" max="284" width="10.7109375" bestFit="1" customWidth="1"/>
    <col min="285" max="285" width="13.85546875" bestFit="1" customWidth="1"/>
    <col min="286" max="286" width="10.7109375" bestFit="1" customWidth="1"/>
    <col min="287" max="287" width="13.85546875" bestFit="1" customWidth="1"/>
    <col min="288" max="288" width="10.7109375" bestFit="1" customWidth="1"/>
    <col min="289" max="289" width="13.85546875" bestFit="1" customWidth="1"/>
    <col min="290" max="290" width="10.7109375" bestFit="1" customWidth="1"/>
    <col min="291" max="291" width="13.85546875" bestFit="1" customWidth="1"/>
    <col min="292" max="292" width="10.7109375" bestFit="1" customWidth="1"/>
    <col min="293" max="293" width="13.85546875" bestFit="1" customWidth="1"/>
    <col min="294" max="294" width="10.7109375" bestFit="1" customWidth="1"/>
    <col min="295" max="295" width="13.85546875" bestFit="1" customWidth="1"/>
    <col min="296" max="296" width="10.7109375" bestFit="1" customWidth="1"/>
    <col min="297" max="297" width="13.85546875" bestFit="1" customWidth="1"/>
    <col min="298" max="298" width="10.7109375" bestFit="1" customWidth="1"/>
    <col min="299" max="299" width="13.85546875" bestFit="1" customWidth="1"/>
    <col min="300" max="300" width="10.7109375" bestFit="1" customWidth="1"/>
    <col min="301" max="301" width="13.85546875" bestFit="1" customWidth="1"/>
    <col min="302" max="302" width="10.7109375" bestFit="1" customWidth="1"/>
    <col min="303" max="303" width="13.85546875" bestFit="1" customWidth="1"/>
    <col min="304" max="304" width="10.7109375" bestFit="1" customWidth="1"/>
    <col min="305" max="305" width="13.85546875" bestFit="1" customWidth="1"/>
    <col min="306" max="306" width="10.7109375" bestFit="1" customWidth="1"/>
    <col min="307" max="307" width="13.85546875" bestFit="1" customWidth="1"/>
    <col min="308" max="308" width="10.7109375" bestFit="1" customWidth="1"/>
    <col min="309" max="309" width="13.85546875" bestFit="1" customWidth="1"/>
    <col min="310" max="310" width="10.7109375" bestFit="1" customWidth="1"/>
    <col min="311" max="311" width="13.85546875" bestFit="1" customWidth="1"/>
    <col min="312" max="312" width="10.7109375" bestFit="1" customWidth="1"/>
    <col min="313" max="313" width="13.85546875" bestFit="1" customWidth="1"/>
    <col min="314" max="314" width="10.7109375" bestFit="1" customWidth="1"/>
    <col min="315" max="315" width="13.85546875" bestFit="1" customWidth="1"/>
    <col min="316" max="316" width="10.7109375" bestFit="1" customWidth="1"/>
    <col min="317" max="317" width="13.85546875" bestFit="1" customWidth="1"/>
    <col min="318" max="318" width="10.7109375" bestFit="1" customWidth="1"/>
    <col min="319" max="319" width="13.85546875" bestFit="1" customWidth="1"/>
    <col min="320" max="320" width="10.7109375" bestFit="1" customWidth="1"/>
    <col min="321" max="321" width="13.85546875" bestFit="1" customWidth="1"/>
    <col min="322" max="322" width="10.7109375" bestFit="1" customWidth="1"/>
    <col min="323" max="323" width="13.85546875" bestFit="1" customWidth="1"/>
    <col min="324" max="324" width="10.7109375" bestFit="1" customWidth="1"/>
    <col min="325" max="325" width="13.85546875" bestFit="1" customWidth="1"/>
    <col min="326" max="326" width="10.7109375" bestFit="1" customWidth="1"/>
    <col min="327" max="327" width="13.85546875" bestFit="1" customWidth="1"/>
    <col min="328" max="328" width="10.7109375" bestFit="1" customWidth="1"/>
    <col min="329" max="329" width="13.85546875" bestFit="1" customWidth="1"/>
    <col min="330" max="330" width="10.7109375" bestFit="1" customWidth="1"/>
    <col min="331" max="331" width="13.85546875" bestFit="1" customWidth="1"/>
    <col min="332" max="332" width="10.7109375" bestFit="1" customWidth="1"/>
    <col min="333" max="333" width="13.85546875" bestFit="1" customWidth="1"/>
    <col min="334" max="334" width="10.7109375" bestFit="1" customWidth="1"/>
    <col min="335" max="335" width="13.85546875" bestFit="1" customWidth="1"/>
    <col min="336" max="336" width="10.7109375" bestFit="1" customWidth="1"/>
    <col min="337" max="337" width="13.85546875" bestFit="1" customWidth="1"/>
    <col min="338" max="338" width="10.7109375" bestFit="1" customWidth="1"/>
    <col min="339" max="339" width="13.85546875" bestFit="1" customWidth="1"/>
    <col min="340" max="340" width="10.7109375" bestFit="1" customWidth="1"/>
    <col min="341" max="341" width="13.85546875" bestFit="1" customWidth="1"/>
    <col min="342" max="342" width="10.7109375" bestFit="1" customWidth="1"/>
    <col min="343" max="343" width="13.85546875" bestFit="1" customWidth="1"/>
    <col min="344" max="344" width="10.7109375" bestFit="1" customWidth="1"/>
    <col min="345" max="345" width="13.85546875" bestFit="1" customWidth="1"/>
    <col min="346" max="346" width="10.7109375" bestFit="1" customWidth="1"/>
    <col min="347" max="347" width="13.85546875" bestFit="1" customWidth="1"/>
    <col min="348" max="348" width="10.7109375" bestFit="1" customWidth="1"/>
    <col min="349" max="349" width="13.85546875" bestFit="1" customWidth="1"/>
    <col min="350" max="350" width="10.7109375" bestFit="1" customWidth="1"/>
    <col min="351" max="351" width="13.85546875" bestFit="1" customWidth="1"/>
    <col min="352" max="352" width="10.7109375" bestFit="1" customWidth="1"/>
    <col min="353" max="353" width="13.85546875" bestFit="1" customWidth="1"/>
    <col min="354" max="354" width="10.7109375" bestFit="1" customWidth="1"/>
    <col min="355" max="355" width="13.85546875" bestFit="1" customWidth="1"/>
    <col min="356" max="356" width="10.7109375" bestFit="1" customWidth="1"/>
    <col min="357" max="357" width="13.85546875" bestFit="1" customWidth="1"/>
    <col min="358" max="358" width="10.7109375" bestFit="1" customWidth="1"/>
    <col min="359" max="359" width="13.85546875" bestFit="1" customWidth="1"/>
    <col min="360" max="360" width="10.7109375" bestFit="1" customWidth="1"/>
    <col min="361" max="361" width="13.85546875" bestFit="1" customWidth="1"/>
    <col min="362" max="362" width="10.7109375" bestFit="1" customWidth="1"/>
    <col min="363" max="363" width="13.85546875" bestFit="1" customWidth="1"/>
    <col min="364" max="364" width="10.7109375" bestFit="1" customWidth="1"/>
    <col min="365" max="365" width="13.85546875" bestFit="1" customWidth="1"/>
    <col min="366" max="366" width="10.7109375" bestFit="1" customWidth="1"/>
    <col min="367" max="367" width="13.85546875" bestFit="1" customWidth="1"/>
    <col min="368" max="368" width="10.7109375" bestFit="1" customWidth="1"/>
    <col min="369" max="369" width="13.85546875" bestFit="1" customWidth="1"/>
    <col min="370" max="370" width="10.7109375" bestFit="1" customWidth="1"/>
    <col min="371" max="371" width="13.85546875" bestFit="1" customWidth="1"/>
    <col min="372" max="372" width="10.7109375" bestFit="1" customWidth="1"/>
    <col min="373" max="373" width="13.85546875" bestFit="1" customWidth="1"/>
    <col min="374" max="374" width="10.7109375" bestFit="1" customWidth="1"/>
    <col min="375" max="375" width="13.85546875" bestFit="1" customWidth="1"/>
    <col min="376" max="376" width="10.7109375" bestFit="1" customWidth="1"/>
    <col min="377" max="377" width="13.85546875" bestFit="1" customWidth="1"/>
    <col min="378" max="378" width="10.7109375" bestFit="1" customWidth="1"/>
    <col min="379" max="379" width="13.85546875" bestFit="1" customWidth="1"/>
    <col min="380" max="380" width="10.7109375" bestFit="1" customWidth="1"/>
    <col min="381" max="381" width="13.85546875" bestFit="1" customWidth="1"/>
    <col min="382" max="382" width="10.7109375" bestFit="1" customWidth="1"/>
    <col min="383" max="383" width="13.85546875" bestFit="1" customWidth="1"/>
    <col min="384" max="384" width="10.7109375" bestFit="1" customWidth="1"/>
    <col min="385" max="385" width="13.85546875" bestFit="1" customWidth="1"/>
    <col min="386" max="386" width="10.7109375" bestFit="1" customWidth="1"/>
    <col min="387" max="387" width="13.85546875" bestFit="1" customWidth="1"/>
    <col min="388" max="388" width="10.7109375" bestFit="1" customWidth="1"/>
    <col min="389" max="389" width="13.85546875" bestFit="1" customWidth="1"/>
    <col min="390" max="390" width="10.7109375" bestFit="1" customWidth="1"/>
    <col min="391" max="391" width="13.85546875" bestFit="1" customWidth="1"/>
    <col min="392" max="392" width="10.7109375" bestFit="1" customWidth="1"/>
    <col min="393" max="393" width="13.85546875" bestFit="1" customWidth="1"/>
    <col min="394" max="394" width="10.7109375" bestFit="1" customWidth="1"/>
    <col min="395" max="395" width="13.85546875" bestFit="1" customWidth="1"/>
    <col min="396" max="396" width="10.7109375" bestFit="1" customWidth="1"/>
    <col min="397" max="397" width="13.85546875" bestFit="1" customWidth="1"/>
    <col min="398" max="398" width="10.7109375" bestFit="1" customWidth="1"/>
    <col min="399" max="399" width="13.85546875" bestFit="1" customWidth="1"/>
    <col min="400" max="400" width="10.7109375" bestFit="1" customWidth="1"/>
    <col min="401" max="401" width="13.85546875" bestFit="1" customWidth="1"/>
    <col min="402" max="402" width="10.7109375" bestFit="1" customWidth="1"/>
    <col min="403" max="403" width="13.85546875" bestFit="1" customWidth="1"/>
    <col min="404" max="404" width="10.7109375" bestFit="1" customWidth="1"/>
    <col min="405" max="405" width="13.85546875" bestFit="1" customWidth="1"/>
    <col min="406" max="406" width="10.7109375" bestFit="1" customWidth="1"/>
    <col min="407" max="407" width="13.85546875" bestFit="1" customWidth="1"/>
    <col min="408" max="408" width="10.7109375" bestFit="1" customWidth="1"/>
    <col min="409" max="409" width="13.85546875" bestFit="1" customWidth="1"/>
    <col min="410" max="410" width="10.7109375" bestFit="1" customWidth="1"/>
    <col min="411" max="411" width="13.85546875" bestFit="1" customWidth="1"/>
    <col min="412" max="412" width="10.7109375" bestFit="1" customWidth="1"/>
    <col min="413" max="413" width="13.85546875" bestFit="1" customWidth="1"/>
    <col min="414" max="414" width="10.7109375" bestFit="1" customWidth="1"/>
    <col min="415" max="415" width="13.85546875" bestFit="1" customWidth="1"/>
    <col min="416" max="416" width="10.7109375" bestFit="1" customWidth="1"/>
    <col min="417" max="417" width="13.85546875" bestFit="1" customWidth="1"/>
    <col min="418" max="418" width="10.7109375" bestFit="1" customWidth="1"/>
    <col min="419" max="419" width="13.85546875" bestFit="1" customWidth="1"/>
    <col min="420" max="420" width="10.7109375" bestFit="1" customWidth="1"/>
    <col min="421" max="421" width="13.85546875" bestFit="1" customWidth="1"/>
    <col min="422" max="422" width="10.7109375" bestFit="1" customWidth="1"/>
    <col min="423" max="423" width="13.85546875" bestFit="1" customWidth="1"/>
    <col min="424" max="424" width="10.7109375" bestFit="1" customWidth="1"/>
    <col min="425" max="425" width="13.85546875" bestFit="1" customWidth="1"/>
    <col min="426" max="426" width="10.7109375" bestFit="1" customWidth="1"/>
    <col min="427" max="427" width="13.85546875" bestFit="1" customWidth="1"/>
    <col min="428" max="428" width="10.7109375" bestFit="1" customWidth="1"/>
    <col min="429" max="429" width="13.85546875" bestFit="1" customWidth="1"/>
    <col min="430" max="430" width="10.7109375" bestFit="1" customWidth="1"/>
    <col min="431" max="431" width="13.85546875" bestFit="1" customWidth="1"/>
    <col min="432" max="432" width="10.7109375" bestFit="1" customWidth="1"/>
    <col min="433" max="433" width="13.85546875" bestFit="1" customWidth="1"/>
    <col min="434" max="434" width="10.7109375" bestFit="1" customWidth="1"/>
    <col min="435" max="435" width="13.85546875" bestFit="1" customWidth="1"/>
    <col min="436" max="436" width="10.7109375" bestFit="1" customWidth="1"/>
    <col min="437" max="437" width="13.85546875" bestFit="1" customWidth="1"/>
    <col min="438" max="438" width="10.7109375" bestFit="1" customWidth="1"/>
    <col min="439" max="439" width="13.85546875" bestFit="1" customWidth="1"/>
    <col min="440" max="440" width="10.7109375" bestFit="1" customWidth="1"/>
    <col min="441" max="441" width="13.85546875" bestFit="1" customWidth="1"/>
    <col min="442" max="442" width="10.7109375" bestFit="1" customWidth="1"/>
    <col min="443" max="443" width="13.85546875" bestFit="1" customWidth="1"/>
    <col min="444" max="444" width="10.7109375" bestFit="1" customWidth="1"/>
    <col min="445" max="445" width="13.85546875" bestFit="1" customWidth="1"/>
    <col min="446" max="446" width="10.7109375" bestFit="1" customWidth="1"/>
    <col min="447" max="447" width="13.85546875" bestFit="1" customWidth="1"/>
    <col min="448" max="448" width="10.7109375" bestFit="1" customWidth="1"/>
    <col min="449" max="449" width="13.85546875" bestFit="1" customWidth="1"/>
    <col min="450" max="450" width="10.7109375" bestFit="1" customWidth="1"/>
    <col min="451" max="451" width="13.85546875" bestFit="1" customWidth="1"/>
    <col min="452" max="452" width="10.7109375" bestFit="1" customWidth="1"/>
    <col min="453" max="453" width="13.85546875" bestFit="1" customWidth="1"/>
    <col min="454" max="454" width="10.7109375" bestFit="1" customWidth="1"/>
    <col min="455" max="455" width="13.85546875" bestFit="1" customWidth="1"/>
    <col min="456" max="456" width="10.7109375" bestFit="1" customWidth="1"/>
    <col min="457" max="457" width="13.85546875" bestFit="1" customWidth="1"/>
    <col min="458" max="458" width="10.7109375" bestFit="1" customWidth="1"/>
    <col min="459" max="459" width="13.85546875" bestFit="1" customWidth="1"/>
    <col min="460" max="460" width="10.7109375" bestFit="1" customWidth="1"/>
    <col min="461" max="461" width="13.85546875" bestFit="1" customWidth="1"/>
    <col min="462" max="462" width="10.7109375" bestFit="1" customWidth="1"/>
    <col min="463" max="463" width="13.85546875" bestFit="1" customWidth="1"/>
    <col min="464" max="464" width="10.7109375" bestFit="1" customWidth="1"/>
    <col min="465" max="465" width="13.85546875" bestFit="1" customWidth="1"/>
    <col min="466" max="466" width="10.7109375" bestFit="1" customWidth="1"/>
    <col min="467" max="467" width="13.85546875" bestFit="1" customWidth="1"/>
    <col min="468" max="468" width="10.7109375" bestFit="1" customWidth="1"/>
    <col min="469" max="469" width="13.85546875" bestFit="1" customWidth="1"/>
    <col min="470" max="470" width="10.7109375" bestFit="1" customWidth="1"/>
    <col min="471" max="471" width="13.85546875" bestFit="1" customWidth="1"/>
    <col min="472" max="472" width="10.7109375" bestFit="1" customWidth="1"/>
    <col min="473" max="473" width="13.85546875" bestFit="1" customWidth="1"/>
    <col min="474" max="474" width="10.7109375" bestFit="1" customWidth="1"/>
    <col min="475" max="475" width="13.85546875" bestFit="1" customWidth="1"/>
    <col min="476" max="476" width="10.7109375" bestFit="1" customWidth="1"/>
    <col min="477" max="477" width="13.85546875" bestFit="1" customWidth="1"/>
    <col min="478" max="478" width="10.7109375" bestFit="1" customWidth="1"/>
    <col min="479" max="479" width="13.85546875" bestFit="1" customWidth="1"/>
    <col min="480" max="480" width="10.7109375" bestFit="1" customWidth="1"/>
    <col min="481" max="481" width="13.85546875" bestFit="1" customWidth="1"/>
    <col min="482" max="482" width="10.7109375" bestFit="1" customWidth="1"/>
    <col min="483" max="483" width="13.85546875" bestFit="1" customWidth="1"/>
    <col min="484" max="484" width="10.7109375" bestFit="1" customWidth="1"/>
    <col min="485" max="485" width="13.85546875" bestFit="1" customWidth="1"/>
    <col min="486" max="486" width="10.7109375" bestFit="1" customWidth="1"/>
    <col min="487" max="487" width="13.85546875" bestFit="1" customWidth="1"/>
    <col min="488" max="488" width="10.7109375" bestFit="1" customWidth="1"/>
    <col min="489" max="489" width="13.85546875" bestFit="1" customWidth="1"/>
    <col min="490" max="490" width="10.7109375" bestFit="1" customWidth="1"/>
    <col min="491" max="491" width="13.85546875" bestFit="1" customWidth="1"/>
    <col min="492" max="492" width="10.7109375" bestFit="1" customWidth="1"/>
    <col min="493" max="493" width="13.85546875" bestFit="1" customWidth="1"/>
    <col min="494" max="494" width="10.7109375" bestFit="1" customWidth="1"/>
    <col min="495" max="495" width="13.85546875" bestFit="1" customWidth="1"/>
    <col min="496" max="496" width="10.7109375" bestFit="1" customWidth="1"/>
    <col min="497" max="497" width="13.85546875" bestFit="1" customWidth="1"/>
    <col min="498" max="498" width="10.7109375" bestFit="1" customWidth="1"/>
    <col min="499" max="499" width="13.85546875" bestFit="1" customWidth="1"/>
    <col min="500" max="500" width="10.7109375" bestFit="1" customWidth="1"/>
    <col min="501" max="501" width="13.85546875" bestFit="1" customWidth="1"/>
    <col min="502" max="502" width="10.7109375" bestFit="1" customWidth="1"/>
    <col min="503" max="503" width="13.85546875" bestFit="1" customWidth="1"/>
    <col min="504" max="504" width="10.7109375" bestFit="1" customWidth="1"/>
    <col min="505" max="505" width="13.85546875" bestFit="1" customWidth="1"/>
    <col min="506" max="506" width="10.7109375" bestFit="1" customWidth="1"/>
    <col min="507" max="507" width="13.85546875" bestFit="1" customWidth="1"/>
    <col min="508" max="508" width="10.7109375" bestFit="1" customWidth="1"/>
    <col min="509" max="509" width="13.85546875" bestFit="1" customWidth="1"/>
    <col min="510" max="510" width="10.7109375" bestFit="1" customWidth="1"/>
    <col min="511" max="511" width="13.85546875" bestFit="1" customWidth="1"/>
    <col min="512" max="512" width="10.7109375" bestFit="1" customWidth="1"/>
    <col min="513" max="513" width="13.85546875" bestFit="1" customWidth="1"/>
    <col min="514" max="514" width="10.7109375" bestFit="1" customWidth="1"/>
    <col min="515" max="515" width="13.85546875" bestFit="1" customWidth="1"/>
    <col min="516" max="516" width="10.7109375" bestFit="1" customWidth="1"/>
    <col min="517" max="517" width="13.85546875" bestFit="1" customWidth="1"/>
    <col min="518" max="518" width="10.7109375" bestFit="1" customWidth="1"/>
    <col min="519" max="519" width="13.85546875" bestFit="1" customWidth="1"/>
    <col min="520" max="520" width="10.7109375" bestFit="1" customWidth="1"/>
    <col min="521" max="521" width="13.85546875" bestFit="1" customWidth="1"/>
    <col min="522" max="522" width="10.7109375" bestFit="1" customWidth="1"/>
    <col min="523" max="523" width="13.85546875" bestFit="1" customWidth="1"/>
    <col min="524" max="524" width="10.7109375" bestFit="1" customWidth="1"/>
    <col min="525" max="525" width="13.85546875" bestFit="1" customWidth="1"/>
    <col min="526" max="526" width="10.7109375" bestFit="1" customWidth="1"/>
    <col min="527" max="527" width="13.85546875" bestFit="1" customWidth="1"/>
    <col min="528" max="528" width="10.7109375" bestFit="1" customWidth="1"/>
    <col min="529" max="529" width="13.85546875" bestFit="1" customWidth="1"/>
    <col min="530" max="530" width="10.7109375" bestFit="1" customWidth="1"/>
    <col min="531" max="531" width="13.85546875" bestFit="1" customWidth="1"/>
    <col min="532" max="532" width="10.7109375" bestFit="1" customWidth="1"/>
    <col min="533" max="533" width="13.85546875" bestFit="1" customWidth="1"/>
    <col min="534" max="534" width="10.7109375" bestFit="1" customWidth="1"/>
    <col min="535" max="535" width="13.85546875" bestFit="1" customWidth="1"/>
    <col min="536" max="536" width="10.7109375" bestFit="1" customWidth="1"/>
    <col min="537" max="537" width="13.85546875" bestFit="1" customWidth="1"/>
    <col min="538" max="538" width="10.7109375" bestFit="1" customWidth="1"/>
    <col min="539" max="539" width="13.85546875" bestFit="1" customWidth="1"/>
    <col min="540" max="540" width="10.7109375" bestFit="1" customWidth="1"/>
    <col min="541" max="541" width="13.85546875" bestFit="1" customWidth="1"/>
    <col min="542" max="542" width="10.7109375" bestFit="1" customWidth="1"/>
    <col min="543" max="543" width="13.85546875" bestFit="1" customWidth="1"/>
    <col min="544" max="544" width="10.7109375" bestFit="1" customWidth="1"/>
    <col min="545" max="545" width="13.85546875" bestFit="1" customWidth="1"/>
    <col min="546" max="546" width="10.7109375" bestFit="1" customWidth="1"/>
    <col min="547" max="547" width="13.85546875" bestFit="1" customWidth="1"/>
    <col min="548" max="548" width="10.7109375" bestFit="1" customWidth="1"/>
    <col min="549" max="549" width="13.85546875" bestFit="1" customWidth="1"/>
    <col min="550" max="550" width="10.7109375" bestFit="1" customWidth="1"/>
    <col min="551" max="551" width="13.85546875" bestFit="1" customWidth="1"/>
    <col min="552" max="552" width="10.7109375" bestFit="1" customWidth="1"/>
    <col min="553" max="553" width="13.85546875" bestFit="1" customWidth="1"/>
    <col min="554" max="554" width="10.7109375" bestFit="1" customWidth="1"/>
    <col min="555" max="555" width="13.85546875" bestFit="1" customWidth="1"/>
    <col min="556" max="556" width="10.7109375" bestFit="1" customWidth="1"/>
    <col min="557" max="557" width="13.85546875" bestFit="1" customWidth="1"/>
    <col min="558" max="558" width="10.7109375" bestFit="1" customWidth="1"/>
    <col min="559" max="559" width="13.85546875" bestFit="1" customWidth="1"/>
    <col min="560" max="560" width="10.7109375" bestFit="1" customWidth="1"/>
    <col min="561" max="561" width="13.85546875" bestFit="1" customWidth="1"/>
    <col min="562" max="562" width="10.7109375" bestFit="1" customWidth="1"/>
    <col min="563" max="563" width="13.85546875" bestFit="1" customWidth="1"/>
    <col min="564" max="564" width="10.7109375" bestFit="1" customWidth="1"/>
    <col min="565" max="565" width="13.85546875" bestFit="1" customWidth="1"/>
    <col min="566" max="566" width="10.7109375" bestFit="1" customWidth="1"/>
    <col min="567" max="567" width="13.85546875" bestFit="1" customWidth="1"/>
    <col min="568" max="568" width="10.7109375" bestFit="1" customWidth="1"/>
    <col min="569" max="569" width="13.85546875" bestFit="1" customWidth="1"/>
    <col min="570" max="570" width="10.7109375" bestFit="1" customWidth="1"/>
    <col min="571" max="571" width="13.85546875" bestFit="1" customWidth="1"/>
    <col min="572" max="572" width="10.7109375" bestFit="1" customWidth="1"/>
    <col min="573" max="573" width="13.85546875" bestFit="1" customWidth="1"/>
    <col min="574" max="574" width="10.7109375" bestFit="1" customWidth="1"/>
    <col min="575" max="575" width="13.85546875" bestFit="1" customWidth="1"/>
    <col min="576" max="576" width="10.7109375" bestFit="1" customWidth="1"/>
    <col min="577" max="577" width="13.85546875" bestFit="1" customWidth="1"/>
    <col min="578" max="578" width="10.7109375" bestFit="1" customWidth="1"/>
    <col min="579" max="579" width="13.85546875" bestFit="1" customWidth="1"/>
    <col min="580" max="580" width="10.7109375" bestFit="1" customWidth="1"/>
    <col min="581" max="581" width="13.85546875" bestFit="1" customWidth="1"/>
    <col min="582" max="582" width="10.7109375" bestFit="1" customWidth="1"/>
    <col min="583" max="583" width="13.85546875" bestFit="1" customWidth="1"/>
    <col min="584" max="584" width="10.7109375" bestFit="1" customWidth="1"/>
    <col min="585" max="585" width="13.85546875" bestFit="1" customWidth="1"/>
    <col min="586" max="586" width="10.7109375" bestFit="1" customWidth="1"/>
    <col min="587" max="587" width="13.85546875" bestFit="1" customWidth="1"/>
    <col min="588" max="588" width="10.7109375" bestFit="1" customWidth="1"/>
    <col min="589" max="589" width="13.85546875" bestFit="1" customWidth="1"/>
    <col min="590" max="590" width="10.7109375" bestFit="1" customWidth="1"/>
    <col min="591" max="591" width="13.85546875" bestFit="1" customWidth="1"/>
    <col min="592" max="592" width="10.7109375" bestFit="1" customWidth="1"/>
    <col min="593" max="593" width="13.85546875" bestFit="1" customWidth="1"/>
    <col min="594" max="594" width="10.7109375" bestFit="1" customWidth="1"/>
    <col min="595" max="595" width="13.85546875" bestFit="1" customWidth="1"/>
    <col min="596" max="596" width="10.7109375" bestFit="1" customWidth="1"/>
    <col min="597" max="597" width="13.85546875" bestFit="1" customWidth="1"/>
    <col min="598" max="598" width="10.7109375" bestFit="1" customWidth="1"/>
    <col min="599" max="599" width="13.85546875" bestFit="1" customWidth="1"/>
    <col min="600" max="600" width="10.7109375" bestFit="1" customWidth="1"/>
    <col min="601" max="601" width="13.85546875" bestFit="1" customWidth="1"/>
    <col min="602" max="602" width="10.7109375" bestFit="1" customWidth="1"/>
    <col min="603" max="603" width="13.85546875" bestFit="1" customWidth="1"/>
    <col min="604" max="604" width="10.7109375" bestFit="1" customWidth="1"/>
    <col min="605" max="605" width="13.85546875" bestFit="1" customWidth="1"/>
    <col min="606" max="606" width="10.7109375" bestFit="1" customWidth="1"/>
    <col min="607" max="607" width="13.85546875" bestFit="1" customWidth="1"/>
    <col min="608" max="608" width="10.7109375" bestFit="1" customWidth="1"/>
    <col min="609" max="609" width="13.85546875" bestFit="1" customWidth="1"/>
    <col min="610" max="610" width="10.7109375" bestFit="1" customWidth="1"/>
    <col min="611" max="611" width="13.85546875" bestFit="1" customWidth="1"/>
    <col min="612" max="612" width="10.7109375" bestFit="1" customWidth="1"/>
    <col min="613" max="613" width="13.85546875" bestFit="1" customWidth="1"/>
    <col min="614" max="614" width="10.7109375" bestFit="1" customWidth="1"/>
    <col min="615" max="615" width="13.85546875" bestFit="1" customWidth="1"/>
    <col min="616" max="616" width="10.7109375" bestFit="1" customWidth="1"/>
    <col min="617" max="617" width="13.85546875" bestFit="1" customWidth="1"/>
    <col min="618" max="618" width="10.7109375" bestFit="1" customWidth="1"/>
    <col min="619" max="619" width="13.85546875" bestFit="1" customWidth="1"/>
    <col min="620" max="620" width="10.7109375" bestFit="1" customWidth="1"/>
    <col min="621" max="621" width="13.85546875" bestFit="1" customWidth="1"/>
    <col min="622" max="622" width="10.7109375" bestFit="1" customWidth="1"/>
    <col min="623" max="623" width="13.85546875" bestFit="1" customWidth="1"/>
    <col min="624" max="624" width="10.7109375" bestFit="1" customWidth="1"/>
    <col min="625" max="625" width="13.85546875" bestFit="1" customWidth="1"/>
    <col min="626" max="626" width="10.7109375" bestFit="1" customWidth="1"/>
    <col min="627" max="627" width="13.85546875" bestFit="1" customWidth="1"/>
    <col min="628" max="628" width="10.7109375" bestFit="1" customWidth="1"/>
    <col min="629" max="629" width="13.85546875" bestFit="1" customWidth="1"/>
    <col min="630" max="630" width="10.7109375" bestFit="1" customWidth="1"/>
    <col min="631" max="631" width="13.85546875" bestFit="1" customWidth="1"/>
    <col min="632" max="632" width="10.7109375" bestFit="1" customWidth="1"/>
    <col min="633" max="633" width="13.85546875" bestFit="1" customWidth="1"/>
    <col min="634" max="634" width="10.7109375" bestFit="1" customWidth="1"/>
    <col min="635" max="635" width="13.85546875" bestFit="1" customWidth="1"/>
    <col min="636" max="636" width="10.7109375" bestFit="1" customWidth="1"/>
    <col min="637" max="637" width="13.85546875" bestFit="1" customWidth="1"/>
    <col min="638" max="638" width="10.7109375" bestFit="1" customWidth="1"/>
    <col min="639" max="639" width="13.85546875" bestFit="1" customWidth="1"/>
    <col min="640" max="640" width="10.7109375" bestFit="1" customWidth="1"/>
    <col min="641" max="641" width="13.85546875" bestFit="1" customWidth="1"/>
    <col min="642" max="642" width="10.7109375" bestFit="1" customWidth="1"/>
    <col min="643" max="643" width="13.85546875" bestFit="1" customWidth="1"/>
    <col min="644" max="644" width="10.7109375" bestFit="1" customWidth="1"/>
    <col min="645" max="645" width="13.85546875" bestFit="1" customWidth="1"/>
    <col min="646" max="646" width="10.7109375" bestFit="1" customWidth="1"/>
    <col min="647" max="647" width="13.85546875" bestFit="1" customWidth="1"/>
    <col min="648" max="648" width="10.7109375" bestFit="1" customWidth="1"/>
    <col min="649" max="649" width="13.85546875" bestFit="1" customWidth="1"/>
    <col min="650" max="650" width="10.7109375" bestFit="1" customWidth="1"/>
    <col min="651" max="651" width="13.85546875" bestFit="1" customWidth="1"/>
    <col min="652" max="652" width="10.7109375" bestFit="1" customWidth="1"/>
    <col min="653" max="653" width="13.85546875" bestFit="1" customWidth="1"/>
    <col min="654" max="654" width="10.7109375" bestFit="1" customWidth="1"/>
    <col min="655" max="655" width="13.85546875" bestFit="1" customWidth="1"/>
    <col min="656" max="656" width="10.7109375" bestFit="1" customWidth="1"/>
    <col min="657" max="657" width="13.85546875" bestFit="1" customWidth="1"/>
    <col min="658" max="658" width="10.7109375" bestFit="1" customWidth="1"/>
    <col min="659" max="659" width="13.85546875" bestFit="1" customWidth="1"/>
    <col min="660" max="660" width="10.7109375" bestFit="1" customWidth="1"/>
    <col min="661" max="661" width="13.85546875" bestFit="1" customWidth="1"/>
    <col min="662" max="662" width="10.7109375" bestFit="1" customWidth="1"/>
    <col min="663" max="663" width="13.85546875" bestFit="1" customWidth="1"/>
    <col min="664" max="664" width="10.7109375" bestFit="1" customWidth="1"/>
    <col min="665" max="665" width="13.85546875" bestFit="1" customWidth="1"/>
    <col min="666" max="666" width="10.7109375" bestFit="1" customWidth="1"/>
    <col min="667" max="667" width="13.85546875" bestFit="1" customWidth="1"/>
    <col min="668" max="668" width="10.7109375" bestFit="1" customWidth="1"/>
    <col min="669" max="669" width="13.85546875" bestFit="1" customWidth="1"/>
    <col min="670" max="670" width="10.7109375" bestFit="1" customWidth="1"/>
    <col min="671" max="671" width="13.85546875" bestFit="1" customWidth="1"/>
    <col min="672" max="672" width="10.7109375" bestFit="1" customWidth="1"/>
    <col min="673" max="673" width="13.85546875" bestFit="1" customWidth="1"/>
    <col min="674" max="674" width="10.7109375" bestFit="1" customWidth="1"/>
    <col min="675" max="675" width="13.85546875" bestFit="1" customWidth="1"/>
    <col min="676" max="676" width="10.7109375" bestFit="1" customWidth="1"/>
    <col min="677" max="677" width="13.85546875" bestFit="1" customWidth="1"/>
    <col min="678" max="678" width="10.7109375" bestFit="1" customWidth="1"/>
    <col min="679" max="679" width="13.85546875" bestFit="1" customWidth="1"/>
    <col min="680" max="680" width="10.7109375" bestFit="1" customWidth="1"/>
    <col min="681" max="681" width="13.85546875" bestFit="1" customWidth="1"/>
    <col min="682" max="682" width="10.7109375" bestFit="1" customWidth="1"/>
    <col min="683" max="683" width="13.85546875" bestFit="1" customWidth="1"/>
    <col min="684" max="684" width="10.7109375" bestFit="1" customWidth="1"/>
    <col min="685" max="685" width="13.85546875" bestFit="1" customWidth="1"/>
    <col min="686" max="686" width="10.7109375" bestFit="1" customWidth="1"/>
    <col min="687" max="687" width="13.85546875" bestFit="1" customWidth="1"/>
    <col min="688" max="688" width="10.7109375" bestFit="1" customWidth="1"/>
    <col min="689" max="689" width="13.85546875" bestFit="1" customWidth="1"/>
    <col min="690" max="690" width="10.7109375" bestFit="1" customWidth="1"/>
    <col min="691" max="691" width="13.85546875" bestFit="1" customWidth="1"/>
    <col min="692" max="692" width="10.7109375" bestFit="1" customWidth="1"/>
    <col min="693" max="693" width="13.85546875" bestFit="1" customWidth="1"/>
    <col min="694" max="694" width="10.7109375" bestFit="1" customWidth="1"/>
    <col min="695" max="695" width="13.85546875" bestFit="1" customWidth="1"/>
    <col min="696" max="696" width="10.7109375" bestFit="1" customWidth="1"/>
    <col min="697" max="697" width="13.85546875" bestFit="1" customWidth="1"/>
    <col min="698" max="698" width="10.7109375" bestFit="1" customWidth="1"/>
    <col min="699" max="699" width="13.85546875" bestFit="1" customWidth="1"/>
    <col min="700" max="700" width="10.7109375" bestFit="1" customWidth="1"/>
    <col min="701" max="701" width="13.85546875" bestFit="1" customWidth="1"/>
    <col min="702" max="702" width="10.7109375" bestFit="1" customWidth="1"/>
    <col min="703" max="703" width="13.85546875" bestFit="1" customWidth="1"/>
    <col min="704" max="704" width="10.7109375" bestFit="1" customWidth="1"/>
    <col min="705" max="705" width="13.85546875" bestFit="1" customWidth="1"/>
    <col min="706" max="706" width="10.7109375" bestFit="1" customWidth="1"/>
    <col min="707" max="707" width="13.85546875" bestFit="1" customWidth="1"/>
    <col min="708" max="708" width="10.7109375" bestFit="1" customWidth="1"/>
    <col min="709" max="709" width="13.85546875" bestFit="1" customWidth="1"/>
    <col min="710" max="710" width="10.7109375" bestFit="1" customWidth="1"/>
    <col min="711" max="711" width="13.85546875" bestFit="1" customWidth="1"/>
    <col min="712" max="712" width="10.7109375" bestFit="1" customWidth="1"/>
    <col min="713" max="713" width="13.85546875" bestFit="1" customWidth="1"/>
    <col min="714" max="714" width="10.7109375" bestFit="1" customWidth="1"/>
    <col min="715" max="715" width="13.85546875" bestFit="1" customWidth="1"/>
    <col min="716" max="716" width="10.7109375" bestFit="1" customWidth="1"/>
    <col min="717" max="717" width="13.85546875" bestFit="1" customWidth="1"/>
    <col min="718" max="718" width="10.7109375" bestFit="1" customWidth="1"/>
    <col min="719" max="719" width="13.85546875" bestFit="1" customWidth="1"/>
    <col min="720" max="720" width="10.7109375" bestFit="1" customWidth="1"/>
    <col min="721" max="721" width="13.85546875" bestFit="1" customWidth="1"/>
    <col min="722" max="722" width="10.7109375" bestFit="1" customWidth="1"/>
    <col min="723" max="723" width="13.85546875" bestFit="1" customWidth="1"/>
    <col min="724" max="724" width="10.7109375" bestFit="1" customWidth="1"/>
    <col min="725" max="725" width="13.85546875" bestFit="1" customWidth="1"/>
    <col min="726" max="726" width="10.7109375" bestFit="1" customWidth="1"/>
    <col min="727" max="727" width="13.85546875" bestFit="1" customWidth="1"/>
    <col min="728" max="728" width="10.7109375" bestFit="1" customWidth="1"/>
    <col min="729" max="729" width="13.85546875" bestFit="1" customWidth="1"/>
    <col min="730" max="730" width="10.7109375" bestFit="1" customWidth="1"/>
    <col min="731" max="731" width="13.85546875" bestFit="1" customWidth="1"/>
    <col min="732" max="732" width="10.7109375" bestFit="1" customWidth="1"/>
    <col min="733" max="733" width="13.85546875" bestFit="1" customWidth="1"/>
    <col min="734" max="734" width="10.7109375" bestFit="1" customWidth="1"/>
    <col min="735" max="735" width="13.85546875" bestFit="1" customWidth="1"/>
    <col min="736" max="736" width="10.7109375" bestFit="1" customWidth="1"/>
    <col min="737" max="737" width="13.85546875" bestFit="1" customWidth="1"/>
    <col min="738" max="738" width="10.7109375" bestFit="1" customWidth="1"/>
    <col min="739" max="739" width="13.85546875" bestFit="1" customWidth="1"/>
    <col min="740" max="740" width="10.7109375" bestFit="1" customWidth="1"/>
    <col min="741" max="741" width="13.85546875" bestFit="1" customWidth="1"/>
    <col min="742" max="742" width="10.7109375" bestFit="1" customWidth="1"/>
    <col min="743" max="743" width="13.85546875" bestFit="1" customWidth="1"/>
    <col min="744" max="744" width="10.7109375" bestFit="1" customWidth="1"/>
    <col min="745" max="745" width="13.85546875" bestFit="1" customWidth="1"/>
    <col min="746" max="746" width="10.7109375" bestFit="1" customWidth="1"/>
    <col min="747" max="747" width="13.85546875" bestFit="1" customWidth="1"/>
    <col min="748" max="748" width="10.7109375" bestFit="1" customWidth="1"/>
    <col min="749" max="749" width="13.85546875" bestFit="1" customWidth="1"/>
    <col min="750" max="750" width="10.7109375" bestFit="1" customWidth="1"/>
    <col min="751" max="751" width="13.85546875" bestFit="1" customWidth="1"/>
    <col min="752" max="752" width="10.7109375" bestFit="1" customWidth="1"/>
    <col min="753" max="753" width="13.85546875" bestFit="1" customWidth="1"/>
    <col min="754" max="754" width="10.7109375" bestFit="1" customWidth="1"/>
    <col min="755" max="755" width="13.85546875" bestFit="1" customWidth="1"/>
    <col min="756" max="756" width="10.7109375" bestFit="1" customWidth="1"/>
    <col min="757" max="757" width="13.85546875" bestFit="1" customWidth="1"/>
    <col min="758" max="758" width="10.7109375" bestFit="1" customWidth="1"/>
    <col min="759" max="759" width="13.85546875" bestFit="1" customWidth="1"/>
    <col min="760" max="760" width="10.7109375" bestFit="1" customWidth="1"/>
    <col min="761" max="761" width="13.85546875" bestFit="1" customWidth="1"/>
    <col min="762" max="762" width="10.7109375" bestFit="1" customWidth="1"/>
    <col min="763" max="763" width="13.85546875" bestFit="1" customWidth="1"/>
    <col min="764" max="764" width="10.7109375" bestFit="1" customWidth="1"/>
    <col min="765" max="765" width="13.85546875" bestFit="1" customWidth="1"/>
    <col min="766" max="766" width="10.7109375" bestFit="1" customWidth="1"/>
    <col min="767" max="767" width="13.85546875" bestFit="1" customWidth="1"/>
    <col min="768" max="768" width="10.7109375" bestFit="1" customWidth="1"/>
    <col min="769" max="769" width="13.85546875" bestFit="1" customWidth="1"/>
    <col min="770" max="770" width="10.7109375" bestFit="1" customWidth="1"/>
    <col min="771" max="771" width="13.85546875" bestFit="1" customWidth="1"/>
    <col min="772" max="772" width="10.7109375" bestFit="1" customWidth="1"/>
    <col min="773" max="773" width="13.85546875" bestFit="1" customWidth="1"/>
    <col min="774" max="774" width="10.7109375" bestFit="1" customWidth="1"/>
    <col min="775" max="775" width="13.85546875" bestFit="1" customWidth="1"/>
    <col min="776" max="776" width="10.7109375" bestFit="1" customWidth="1"/>
    <col min="777" max="777" width="13.85546875" bestFit="1" customWidth="1"/>
    <col min="778" max="778" width="10.7109375" bestFit="1" customWidth="1"/>
    <col min="779" max="779" width="13.85546875" bestFit="1" customWidth="1"/>
    <col min="780" max="780" width="10.7109375" bestFit="1" customWidth="1"/>
    <col min="781" max="781" width="13.85546875" bestFit="1" customWidth="1"/>
    <col min="782" max="782" width="10.7109375" bestFit="1" customWidth="1"/>
    <col min="783" max="783" width="13.85546875" bestFit="1" customWidth="1"/>
    <col min="784" max="784" width="10.7109375" bestFit="1" customWidth="1"/>
    <col min="785" max="785" width="13.85546875" bestFit="1" customWidth="1"/>
    <col min="786" max="786" width="10.7109375" bestFit="1" customWidth="1"/>
    <col min="787" max="787" width="13.85546875" bestFit="1" customWidth="1"/>
    <col min="788" max="788" width="10.7109375" bestFit="1" customWidth="1"/>
    <col min="789" max="789" width="13.85546875" bestFit="1" customWidth="1"/>
    <col min="790" max="790" width="10.7109375" bestFit="1" customWidth="1"/>
    <col min="791" max="791" width="13.85546875" bestFit="1" customWidth="1"/>
    <col min="792" max="792" width="10.7109375" bestFit="1" customWidth="1"/>
    <col min="793" max="793" width="13.85546875" bestFit="1" customWidth="1"/>
    <col min="794" max="794" width="10.7109375" bestFit="1" customWidth="1"/>
    <col min="795" max="795" width="13.85546875" bestFit="1" customWidth="1"/>
    <col min="796" max="796" width="10.7109375" bestFit="1" customWidth="1"/>
    <col min="797" max="797" width="13.85546875" bestFit="1" customWidth="1"/>
    <col min="798" max="798" width="10.7109375" bestFit="1" customWidth="1"/>
    <col min="799" max="799" width="13.85546875" bestFit="1" customWidth="1"/>
    <col min="800" max="800" width="10.7109375" bestFit="1" customWidth="1"/>
    <col min="801" max="801" width="13.85546875" bestFit="1" customWidth="1"/>
    <col min="802" max="802" width="10.7109375" bestFit="1" customWidth="1"/>
    <col min="803" max="803" width="13.85546875" bestFit="1" customWidth="1"/>
    <col min="804" max="804" width="10.7109375" bestFit="1" customWidth="1"/>
    <col min="805" max="805" width="13.85546875" bestFit="1" customWidth="1"/>
    <col min="806" max="806" width="10.7109375" bestFit="1" customWidth="1"/>
    <col min="807" max="807" width="13.85546875" bestFit="1" customWidth="1"/>
    <col min="808" max="808" width="10.7109375" bestFit="1" customWidth="1"/>
    <col min="809" max="809" width="13.85546875" bestFit="1" customWidth="1"/>
    <col min="810" max="810" width="10.7109375" bestFit="1" customWidth="1"/>
    <col min="811" max="811" width="13.85546875" bestFit="1" customWidth="1"/>
    <col min="812" max="812" width="10.7109375" bestFit="1" customWidth="1"/>
    <col min="813" max="813" width="13.85546875" bestFit="1" customWidth="1"/>
    <col min="814" max="814" width="10.7109375" bestFit="1" customWidth="1"/>
    <col min="815" max="815" width="13.85546875" bestFit="1" customWidth="1"/>
    <col min="816" max="816" width="10.7109375" bestFit="1" customWidth="1"/>
    <col min="817" max="817" width="13.85546875" bestFit="1" customWidth="1"/>
    <col min="818" max="818" width="10.7109375" bestFit="1" customWidth="1"/>
    <col min="819" max="819" width="13.85546875" bestFit="1" customWidth="1"/>
    <col min="820" max="820" width="10.7109375" bestFit="1" customWidth="1"/>
    <col min="821" max="821" width="13.85546875" bestFit="1" customWidth="1"/>
    <col min="822" max="822" width="10.7109375" bestFit="1" customWidth="1"/>
    <col min="823" max="823" width="13.85546875" bestFit="1" customWidth="1"/>
    <col min="824" max="824" width="10.7109375" bestFit="1" customWidth="1"/>
    <col min="825" max="825" width="13.85546875" bestFit="1" customWidth="1"/>
    <col min="826" max="826" width="10.7109375" bestFit="1" customWidth="1"/>
    <col min="827" max="827" width="13.85546875" bestFit="1" customWidth="1"/>
    <col min="828" max="828" width="10.7109375" bestFit="1" customWidth="1"/>
    <col min="829" max="829" width="13.85546875" bestFit="1" customWidth="1"/>
    <col min="830" max="830" width="10.7109375" bestFit="1" customWidth="1"/>
    <col min="831" max="831" width="13.85546875" bestFit="1" customWidth="1"/>
    <col min="832" max="832" width="10.7109375" bestFit="1" customWidth="1"/>
    <col min="833" max="833" width="13.85546875" bestFit="1" customWidth="1"/>
    <col min="834" max="834" width="10.7109375" bestFit="1" customWidth="1"/>
    <col min="835" max="835" width="13.85546875" bestFit="1" customWidth="1"/>
    <col min="836" max="836" width="10.7109375" bestFit="1" customWidth="1"/>
    <col min="837" max="837" width="13.85546875" bestFit="1" customWidth="1"/>
    <col min="838" max="838" width="10.7109375" bestFit="1" customWidth="1"/>
    <col min="839" max="839" width="13.85546875" bestFit="1" customWidth="1"/>
    <col min="840" max="840" width="10.7109375" bestFit="1" customWidth="1"/>
    <col min="841" max="841" width="13.85546875" bestFit="1" customWidth="1"/>
    <col min="842" max="842" width="10.7109375" bestFit="1" customWidth="1"/>
    <col min="843" max="843" width="13.85546875" bestFit="1" customWidth="1"/>
    <col min="844" max="844" width="10.7109375" bestFit="1" customWidth="1"/>
    <col min="845" max="845" width="13.85546875" bestFit="1" customWidth="1"/>
    <col min="846" max="846" width="10.7109375" bestFit="1" customWidth="1"/>
    <col min="847" max="847" width="13.85546875" bestFit="1" customWidth="1"/>
    <col min="848" max="848" width="10.7109375" bestFit="1" customWidth="1"/>
    <col min="849" max="849" width="13.85546875" bestFit="1" customWidth="1"/>
    <col min="850" max="850" width="10.7109375" bestFit="1" customWidth="1"/>
    <col min="851" max="851" width="13.85546875" bestFit="1" customWidth="1"/>
    <col min="852" max="852" width="10.7109375" bestFit="1" customWidth="1"/>
    <col min="853" max="853" width="13.85546875" bestFit="1" customWidth="1"/>
    <col min="854" max="854" width="10.7109375" bestFit="1" customWidth="1"/>
    <col min="855" max="855" width="13.85546875" bestFit="1" customWidth="1"/>
    <col min="856" max="856" width="10.7109375" bestFit="1" customWidth="1"/>
    <col min="857" max="857" width="13.85546875" bestFit="1" customWidth="1"/>
    <col min="858" max="858" width="10.7109375" bestFit="1" customWidth="1"/>
    <col min="859" max="859" width="13.85546875" bestFit="1" customWidth="1"/>
    <col min="860" max="860" width="10.7109375" bestFit="1" customWidth="1"/>
    <col min="861" max="861" width="13.85546875" bestFit="1" customWidth="1"/>
    <col min="862" max="862" width="10.7109375" bestFit="1" customWidth="1"/>
    <col min="863" max="863" width="13.85546875" bestFit="1" customWidth="1"/>
    <col min="864" max="864" width="10.7109375" bestFit="1" customWidth="1"/>
    <col min="865" max="865" width="13.85546875" bestFit="1" customWidth="1"/>
    <col min="866" max="866" width="10.7109375" bestFit="1" customWidth="1"/>
    <col min="867" max="867" width="13.85546875" bestFit="1" customWidth="1"/>
    <col min="868" max="868" width="10.7109375" bestFit="1" customWidth="1"/>
    <col min="869" max="869" width="13.85546875" bestFit="1" customWidth="1"/>
    <col min="870" max="870" width="10.7109375" bestFit="1" customWidth="1"/>
    <col min="871" max="871" width="13.85546875" bestFit="1" customWidth="1"/>
    <col min="872" max="872" width="10.7109375" bestFit="1" customWidth="1"/>
    <col min="873" max="873" width="13.85546875" bestFit="1" customWidth="1"/>
    <col min="874" max="874" width="10.7109375" bestFit="1" customWidth="1"/>
    <col min="875" max="875" width="13.85546875" bestFit="1" customWidth="1"/>
    <col min="876" max="876" width="10.7109375" bestFit="1" customWidth="1"/>
    <col min="877" max="877" width="13.85546875" bestFit="1" customWidth="1"/>
    <col min="878" max="878" width="10.7109375" bestFit="1" customWidth="1"/>
    <col min="879" max="879" width="13.85546875" bestFit="1" customWidth="1"/>
    <col min="880" max="880" width="10.7109375" bestFit="1" customWidth="1"/>
    <col min="881" max="881" width="13.85546875" bestFit="1" customWidth="1"/>
    <col min="882" max="882" width="10.7109375" bestFit="1" customWidth="1"/>
    <col min="883" max="883" width="13.85546875" bestFit="1" customWidth="1"/>
    <col min="884" max="884" width="10.7109375" bestFit="1" customWidth="1"/>
    <col min="885" max="885" width="13.85546875" bestFit="1" customWidth="1"/>
    <col min="886" max="886" width="10.7109375" bestFit="1" customWidth="1"/>
    <col min="887" max="887" width="13.85546875" bestFit="1" customWidth="1"/>
    <col min="888" max="888" width="10.7109375" bestFit="1" customWidth="1"/>
    <col min="889" max="889" width="13.85546875" bestFit="1" customWidth="1"/>
    <col min="890" max="890" width="10.7109375" bestFit="1" customWidth="1"/>
    <col min="891" max="891" width="13.85546875" bestFit="1" customWidth="1"/>
    <col min="892" max="892" width="10.7109375" bestFit="1" customWidth="1"/>
    <col min="893" max="893" width="13.85546875" bestFit="1" customWidth="1"/>
    <col min="894" max="894" width="10.7109375" bestFit="1" customWidth="1"/>
    <col min="895" max="895" width="13.85546875" bestFit="1" customWidth="1"/>
    <col min="896" max="896" width="10.7109375" bestFit="1" customWidth="1"/>
    <col min="897" max="897" width="13.85546875" bestFit="1" customWidth="1"/>
    <col min="898" max="898" width="10.7109375" bestFit="1" customWidth="1"/>
    <col min="899" max="899" width="13.85546875" bestFit="1" customWidth="1"/>
    <col min="900" max="900" width="10.7109375" bestFit="1" customWidth="1"/>
    <col min="901" max="901" width="13.85546875" bestFit="1" customWidth="1"/>
    <col min="902" max="902" width="10.7109375" bestFit="1" customWidth="1"/>
    <col min="903" max="903" width="13.85546875" bestFit="1" customWidth="1"/>
    <col min="904" max="904" width="10.7109375" bestFit="1" customWidth="1"/>
    <col min="905" max="905" width="13.85546875" bestFit="1" customWidth="1"/>
    <col min="906" max="906" width="10.7109375" bestFit="1" customWidth="1"/>
    <col min="907" max="907" width="13.85546875" bestFit="1" customWidth="1"/>
    <col min="908" max="908" width="10.7109375" bestFit="1" customWidth="1"/>
    <col min="909" max="909" width="13.85546875" bestFit="1" customWidth="1"/>
    <col min="910" max="910" width="10.7109375" bestFit="1" customWidth="1"/>
    <col min="911" max="911" width="13.85546875" bestFit="1" customWidth="1"/>
    <col min="912" max="912" width="10.7109375" bestFit="1" customWidth="1"/>
    <col min="913" max="913" width="13.85546875" bestFit="1" customWidth="1"/>
    <col min="914" max="914" width="10.7109375" bestFit="1" customWidth="1"/>
    <col min="915" max="915" width="13.85546875" bestFit="1" customWidth="1"/>
    <col min="916" max="916" width="10.7109375" bestFit="1" customWidth="1"/>
    <col min="917" max="917" width="13.85546875" bestFit="1" customWidth="1"/>
    <col min="918" max="918" width="10.7109375" bestFit="1" customWidth="1"/>
    <col min="919" max="919" width="13.85546875" bestFit="1" customWidth="1"/>
    <col min="920" max="920" width="10.7109375" bestFit="1" customWidth="1"/>
    <col min="921" max="921" width="13.85546875" bestFit="1" customWidth="1"/>
    <col min="922" max="922" width="10.7109375" bestFit="1" customWidth="1"/>
    <col min="923" max="923" width="13.85546875" bestFit="1" customWidth="1"/>
    <col min="924" max="924" width="10.7109375" bestFit="1" customWidth="1"/>
    <col min="925" max="925" width="13.85546875" bestFit="1" customWidth="1"/>
    <col min="926" max="926" width="10.7109375" bestFit="1" customWidth="1"/>
    <col min="927" max="927" width="13.85546875" bestFit="1" customWidth="1"/>
    <col min="928" max="928" width="10.7109375" bestFit="1" customWidth="1"/>
    <col min="929" max="929" width="13.85546875" bestFit="1" customWidth="1"/>
    <col min="930" max="930" width="10.7109375" bestFit="1" customWidth="1"/>
    <col min="931" max="931" width="13.85546875" bestFit="1" customWidth="1"/>
    <col min="932" max="932" width="10.7109375" bestFit="1" customWidth="1"/>
    <col min="933" max="933" width="13.85546875" bestFit="1" customWidth="1"/>
    <col min="934" max="934" width="10.7109375" bestFit="1" customWidth="1"/>
    <col min="935" max="935" width="13.85546875" bestFit="1" customWidth="1"/>
    <col min="936" max="936" width="10.7109375" bestFit="1" customWidth="1"/>
    <col min="937" max="937" width="13.85546875" bestFit="1" customWidth="1"/>
    <col min="938" max="938" width="10.7109375" bestFit="1" customWidth="1"/>
    <col min="939" max="939" width="13.85546875" bestFit="1" customWidth="1"/>
    <col min="940" max="940" width="10.7109375" bestFit="1" customWidth="1"/>
    <col min="941" max="941" width="13.85546875" bestFit="1" customWidth="1"/>
    <col min="942" max="942" width="10.7109375" bestFit="1" customWidth="1"/>
    <col min="943" max="943" width="13.85546875" bestFit="1" customWidth="1"/>
    <col min="944" max="944" width="10.7109375" bestFit="1" customWidth="1"/>
    <col min="945" max="945" width="13.85546875" bestFit="1" customWidth="1"/>
    <col min="946" max="946" width="10.7109375" bestFit="1" customWidth="1"/>
    <col min="947" max="947" width="13.85546875" bestFit="1" customWidth="1"/>
    <col min="948" max="948" width="10.7109375" bestFit="1" customWidth="1"/>
    <col min="949" max="949" width="13.85546875" bestFit="1" customWidth="1"/>
    <col min="950" max="950" width="10.7109375" bestFit="1" customWidth="1"/>
    <col min="951" max="951" width="13.85546875" bestFit="1" customWidth="1"/>
    <col min="952" max="952" width="10.7109375" bestFit="1" customWidth="1"/>
    <col min="953" max="953" width="13.85546875" bestFit="1" customWidth="1"/>
    <col min="954" max="954" width="10.7109375" bestFit="1" customWidth="1"/>
    <col min="955" max="955" width="13.85546875" bestFit="1" customWidth="1"/>
    <col min="956" max="956" width="10.7109375" bestFit="1" customWidth="1"/>
    <col min="957" max="957" width="13.85546875" bestFit="1" customWidth="1"/>
    <col min="958" max="958" width="10.7109375" bestFit="1" customWidth="1"/>
    <col min="959" max="959" width="13.85546875" bestFit="1" customWidth="1"/>
    <col min="960" max="960" width="10.7109375" bestFit="1" customWidth="1"/>
    <col min="961" max="961" width="13.85546875" bestFit="1" customWidth="1"/>
    <col min="962" max="962" width="10.7109375" bestFit="1" customWidth="1"/>
    <col min="963" max="963" width="13.85546875" bestFit="1" customWidth="1"/>
    <col min="964" max="964" width="10.7109375" bestFit="1" customWidth="1"/>
    <col min="965" max="965" width="13.85546875" bestFit="1" customWidth="1"/>
    <col min="966" max="966" width="10.7109375" bestFit="1" customWidth="1"/>
    <col min="967" max="967" width="13.85546875" bestFit="1" customWidth="1"/>
    <col min="968" max="968" width="10.7109375" bestFit="1" customWidth="1"/>
    <col min="969" max="969" width="13.85546875" bestFit="1" customWidth="1"/>
    <col min="970" max="970" width="10.7109375" bestFit="1" customWidth="1"/>
    <col min="971" max="971" width="13.85546875" bestFit="1" customWidth="1"/>
    <col min="972" max="972" width="10.7109375" bestFit="1" customWidth="1"/>
    <col min="973" max="973" width="13.85546875" bestFit="1" customWidth="1"/>
    <col min="974" max="974" width="10.7109375" bestFit="1" customWidth="1"/>
    <col min="975" max="975" width="13.85546875" bestFit="1" customWidth="1"/>
    <col min="976" max="976" width="10.7109375" bestFit="1" customWidth="1"/>
    <col min="977" max="977" width="13.85546875" bestFit="1" customWidth="1"/>
    <col min="978" max="978" width="10.7109375" bestFit="1" customWidth="1"/>
    <col min="979" max="979" width="13.85546875" bestFit="1" customWidth="1"/>
    <col min="980" max="980" width="10.7109375" bestFit="1" customWidth="1"/>
    <col min="981" max="981" width="13.85546875" bestFit="1" customWidth="1"/>
    <col min="982" max="982" width="10.7109375" bestFit="1" customWidth="1"/>
    <col min="983" max="983" width="13.85546875" bestFit="1" customWidth="1"/>
    <col min="984" max="984" width="10.7109375" bestFit="1" customWidth="1"/>
    <col min="985" max="985" width="13.85546875" bestFit="1" customWidth="1"/>
    <col min="986" max="986" width="10.7109375" bestFit="1" customWidth="1"/>
    <col min="987" max="987" width="13.85546875" bestFit="1" customWidth="1"/>
    <col min="988" max="988" width="10.7109375" bestFit="1" customWidth="1"/>
    <col min="989" max="989" width="13.85546875" bestFit="1" customWidth="1"/>
    <col min="990" max="990" width="10.7109375" bestFit="1" customWidth="1"/>
    <col min="991" max="991" width="13.85546875" bestFit="1" customWidth="1"/>
    <col min="992" max="992" width="10.7109375" bestFit="1" customWidth="1"/>
    <col min="993" max="993" width="13.85546875" bestFit="1" customWidth="1"/>
    <col min="994" max="994" width="10.7109375" bestFit="1" customWidth="1"/>
    <col min="995" max="995" width="13.85546875" bestFit="1" customWidth="1"/>
    <col min="996" max="996" width="10.7109375" bestFit="1" customWidth="1"/>
    <col min="997" max="997" width="13.85546875" bestFit="1" customWidth="1"/>
    <col min="998" max="998" width="10.7109375" bestFit="1" customWidth="1"/>
    <col min="999" max="999" width="13.85546875" bestFit="1" customWidth="1"/>
    <col min="1000" max="1000" width="10.7109375" bestFit="1" customWidth="1"/>
    <col min="1001" max="1001" width="13.85546875" bestFit="1" customWidth="1"/>
    <col min="1002" max="1002" width="10.7109375" bestFit="1" customWidth="1"/>
    <col min="1003" max="1003" width="13.85546875" bestFit="1" customWidth="1"/>
    <col min="1004" max="1004" width="10.7109375" bestFit="1" customWidth="1"/>
    <col min="1005" max="1005" width="13.85546875" bestFit="1" customWidth="1"/>
    <col min="1006" max="1006" width="10.7109375" bestFit="1" customWidth="1"/>
    <col min="1007" max="1007" width="13.85546875" bestFit="1" customWidth="1"/>
    <col min="1008" max="1008" width="10.7109375" bestFit="1" customWidth="1"/>
    <col min="1009" max="1009" width="13.85546875" bestFit="1" customWidth="1"/>
    <col min="1010" max="1010" width="10.7109375" bestFit="1" customWidth="1"/>
    <col min="1011" max="1011" width="13.85546875" bestFit="1" customWidth="1"/>
    <col min="1012" max="1012" width="10.7109375" bestFit="1" customWidth="1"/>
    <col min="1013" max="1013" width="13.85546875" bestFit="1" customWidth="1"/>
    <col min="1014" max="1014" width="10.7109375" bestFit="1" customWidth="1"/>
    <col min="1015" max="1015" width="13.85546875" bestFit="1" customWidth="1"/>
    <col min="1016" max="1016" width="10.7109375" bestFit="1" customWidth="1"/>
    <col min="1017" max="1017" width="13.85546875" bestFit="1" customWidth="1"/>
    <col min="1018" max="1018" width="10.7109375" bestFit="1" customWidth="1"/>
    <col min="1019" max="1019" width="13.85546875" bestFit="1" customWidth="1"/>
    <col min="1020" max="1020" width="10.7109375" bestFit="1" customWidth="1"/>
    <col min="1021" max="1021" width="13.85546875" bestFit="1" customWidth="1"/>
    <col min="1022" max="1022" width="10.7109375" bestFit="1" customWidth="1"/>
    <col min="1023" max="1023" width="13.85546875" bestFit="1" customWidth="1"/>
    <col min="1024" max="1024" width="10.7109375" bestFit="1" customWidth="1"/>
    <col min="1025" max="1025" width="13.85546875" bestFit="1" customWidth="1"/>
    <col min="1026" max="1026" width="10.7109375" bestFit="1" customWidth="1"/>
    <col min="1027" max="1027" width="13.85546875" bestFit="1" customWidth="1"/>
    <col min="1028" max="1028" width="10.7109375" bestFit="1" customWidth="1"/>
    <col min="1029" max="1029" width="13.85546875" bestFit="1" customWidth="1"/>
    <col min="1030" max="1030" width="10.7109375" bestFit="1" customWidth="1"/>
    <col min="1031" max="1031" width="13.85546875" bestFit="1" customWidth="1"/>
    <col min="1032" max="1032" width="10.7109375" bestFit="1" customWidth="1"/>
    <col min="1033" max="1033" width="13.85546875" bestFit="1" customWidth="1"/>
    <col min="1034" max="1034" width="10.7109375" bestFit="1" customWidth="1"/>
    <col min="1035" max="1035" width="13.85546875" bestFit="1" customWidth="1"/>
    <col min="1036" max="1036" width="10.7109375" bestFit="1" customWidth="1"/>
    <col min="1037" max="1037" width="13.85546875" bestFit="1" customWidth="1"/>
    <col min="1038" max="1038" width="10.7109375" bestFit="1" customWidth="1"/>
    <col min="1039" max="1039" width="13.85546875" bestFit="1" customWidth="1"/>
    <col min="1040" max="1040" width="10.7109375" bestFit="1" customWidth="1"/>
    <col min="1041" max="1041" width="13.85546875" bestFit="1" customWidth="1"/>
    <col min="1042" max="1042" width="10.7109375" bestFit="1" customWidth="1"/>
    <col min="1043" max="1043" width="13.85546875" bestFit="1" customWidth="1"/>
    <col min="1044" max="1044" width="12.42578125" bestFit="1" customWidth="1"/>
    <col min="1045" max="1045" width="10.7109375" bestFit="1" customWidth="1"/>
    <col min="1046" max="1046" width="13.85546875" bestFit="1" customWidth="1"/>
    <col min="1047" max="1047" width="10.7109375" bestFit="1" customWidth="1"/>
    <col min="1048" max="1048" width="13.85546875" bestFit="1" customWidth="1"/>
    <col min="1049" max="1049" width="10.7109375" bestFit="1" customWidth="1"/>
    <col min="1050" max="1050" width="13.85546875" bestFit="1" customWidth="1"/>
    <col min="1051" max="1051" width="10.7109375" bestFit="1" customWidth="1"/>
    <col min="1052" max="1052" width="13.85546875" bestFit="1" customWidth="1"/>
    <col min="1053" max="1053" width="10.7109375" bestFit="1" customWidth="1"/>
    <col min="1054" max="1054" width="13.85546875" bestFit="1" customWidth="1"/>
    <col min="1055" max="1055" width="10.7109375" bestFit="1" customWidth="1"/>
    <col min="1056" max="1056" width="13.85546875" bestFit="1" customWidth="1"/>
    <col min="1057" max="1057" width="10.7109375" bestFit="1" customWidth="1"/>
    <col min="1058" max="1058" width="13.85546875" bestFit="1" customWidth="1"/>
    <col min="1059" max="1059" width="10.7109375" bestFit="1" customWidth="1"/>
    <col min="1060" max="1060" width="13.85546875" bestFit="1" customWidth="1"/>
    <col min="1061" max="1061" width="10.7109375" bestFit="1" customWidth="1"/>
    <col min="1062" max="1062" width="13.85546875" bestFit="1" customWidth="1"/>
    <col min="1063" max="1063" width="10.7109375" bestFit="1" customWidth="1"/>
    <col min="1064" max="1064" width="13.85546875" bestFit="1" customWidth="1"/>
    <col min="1065" max="1065" width="10.7109375" bestFit="1" customWidth="1"/>
    <col min="1066" max="1066" width="13.85546875" bestFit="1" customWidth="1"/>
    <col min="1067" max="1067" width="10.7109375" bestFit="1" customWidth="1"/>
    <col min="1068" max="1068" width="13.85546875" bestFit="1" customWidth="1"/>
    <col min="1069" max="1069" width="10.7109375" bestFit="1" customWidth="1"/>
    <col min="1070" max="1070" width="13.85546875" bestFit="1" customWidth="1"/>
    <col min="1071" max="1071" width="10.7109375" bestFit="1" customWidth="1"/>
    <col min="1072" max="1072" width="13.85546875" bestFit="1" customWidth="1"/>
    <col min="1073" max="1073" width="10.7109375" bestFit="1" customWidth="1"/>
    <col min="1074" max="1074" width="13.85546875" bestFit="1" customWidth="1"/>
    <col min="1075" max="1075" width="10.7109375" bestFit="1" customWidth="1"/>
    <col min="1076" max="1076" width="13.85546875" bestFit="1" customWidth="1"/>
    <col min="1077" max="1077" width="10.7109375" bestFit="1" customWidth="1"/>
    <col min="1078" max="1078" width="13.85546875" bestFit="1" customWidth="1"/>
    <col min="1079" max="1079" width="10.7109375" bestFit="1" customWidth="1"/>
    <col min="1080" max="1080" width="13.85546875" bestFit="1" customWidth="1"/>
    <col min="1081" max="1081" width="10.7109375" bestFit="1" customWidth="1"/>
    <col min="1082" max="1082" width="13.85546875" bestFit="1" customWidth="1"/>
    <col min="1083" max="1083" width="10.7109375" bestFit="1" customWidth="1"/>
    <col min="1084" max="1084" width="13.85546875" bestFit="1" customWidth="1"/>
    <col min="1085" max="1085" width="10.7109375" bestFit="1" customWidth="1"/>
    <col min="1086" max="1086" width="13.85546875" bestFit="1" customWidth="1"/>
    <col min="1087" max="1087" width="10.7109375" bestFit="1" customWidth="1"/>
    <col min="1088" max="1088" width="13.85546875" bestFit="1" customWidth="1"/>
    <col min="1089" max="1089" width="10.7109375" bestFit="1" customWidth="1"/>
    <col min="1090" max="1090" width="13.85546875" bestFit="1" customWidth="1"/>
    <col min="1091" max="1091" width="10.7109375" bestFit="1" customWidth="1"/>
    <col min="1092" max="1092" width="13.85546875" bestFit="1" customWidth="1"/>
    <col min="1093" max="1093" width="10.7109375" bestFit="1" customWidth="1"/>
    <col min="1094" max="1094" width="13.85546875" bestFit="1" customWidth="1"/>
    <col min="1095" max="1095" width="10.7109375" bestFit="1" customWidth="1"/>
    <col min="1096" max="1096" width="13.85546875" bestFit="1" customWidth="1"/>
    <col min="1097" max="1097" width="10.7109375" bestFit="1" customWidth="1"/>
    <col min="1098" max="1098" width="13.85546875" bestFit="1" customWidth="1"/>
    <col min="1099" max="1099" width="10.7109375" bestFit="1" customWidth="1"/>
    <col min="1100" max="1100" width="13.85546875" bestFit="1" customWidth="1"/>
    <col min="1101" max="1101" width="10.7109375" bestFit="1" customWidth="1"/>
    <col min="1102" max="1102" width="13.85546875" bestFit="1" customWidth="1"/>
    <col min="1103" max="1103" width="10.7109375" bestFit="1" customWidth="1"/>
    <col min="1104" max="1104" width="13.85546875" bestFit="1" customWidth="1"/>
    <col min="1105" max="1105" width="10.7109375" bestFit="1" customWidth="1"/>
    <col min="1106" max="1106" width="13.85546875" bestFit="1" customWidth="1"/>
    <col min="1107" max="1107" width="10.7109375" bestFit="1" customWidth="1"/>
    <col min="1108" max="1108" width="13.85546875" bestFit="1" customWidth="1"/>
    <col min="1109" max="1109" width="10.7109375" bestFit="1" customWidth="1"/>
    <col min="1110" max="1110" width="13.85546875" bestFit="1" customWidth="1"/>
    <col min="1111" max="1111" width="10.7109375" bestFit="1" customWidth="1"/>
    <col min="1112" max="1112" width="13.85546875" bestFit="1" customWidth="1"/>
    <col min="1113" max="1113" width="10.7109375" bestFit="1" customWidth="1"/>
    <col min="1114" max="1114" width="13.85546875" bestFit="1" customWidth="1"/>
    <col min="1115" max="1115" width="10.7109375" bestFit="1" customWidth="1"/>
    <col min="1116" max="1116" width="13.85546875" bestFit="1" customWidth="1"/>
    <col min="1117" max="1117" width="10.7109375" bestFit="1" customWidth="1"/>
    <col min="1118" max="1118" width="13.85546875" bestFit="1" customWidth="1"/>
    <col min="1119" max="1119" width="10.7109375" bestFit="1" customWidth="1"/>
    <col min="1120" max="1120" width="13.85546875" bestFit="1" customWidth="1"/>
    <col min="1121" max="1121" width="10.7109375" bestFit="1" customWidth="1"/>
    <col min="1122" max="1122" width="13.85546875" bestFit="1" customWidth="1"/>
    <col min="1123" max="1123" width="10.7109375" bestFit="1" customWidth="1"/>
    <col min="1124" max="1124" width="13.85546875" bestFit="1" customWidth="1"/>
    <col min="1125" max="1125" width="10.7109375" bestFit="1" customWidth="1"/>
    <col min="1126" max="1126" width="13.85546875" bestFit="1" customWidth="1"/>
    <col min="1127" max="1127" width="10.7109375" bestFit="1" customWidth="1"/>
    <col min="1128" max="1128" width="13.85546875" bestFit="1" customWidth="1"/>
    <col min="1129" max="1129" width="10.7109375" bestFit="1" customWidth="1"/>
    <col min="1130" max="1130" width="13.85546875" bestFit="1" customWidth="1"/>
    <col min="1131" max="1131" width="10.7109375" bestFit="1" customWidth="1"/>
    <col min="1132" max="1132" width="13.85546875" bestFit="1" customWidth="1"/>
    <col min="1133" max="1133" width="11.7109375" bestFit="1" customWidth="1"/>
    <col min="1134" max="1134" width="14.85546875" bestFit="1" customWidth="1"/>
    <col min="1135" max="1135" width="10.7109375" bestFit="1" customWidth="1"/>
    <col min="1136" max="1136" width="13.85546875" bestFit="1" customWidth="1"/>
    <col min="1137" max="1137" width="10.7109375" bestFit="1" customWidth="1"/>
    <col min="1138" max="1138" width="13.85546875" bestFit="1" customWidth="1"/>
    <col min="1139" max="1139" width="10.7109375" bestFit="1" customWidth="1"/>
    <col min="1140" max="1140" width="13.85546875" bestFit="1" customWidth="1"/>
    <col min="1141" max="1141" width="10.7109375" bestFit="1" customWidth="1"/>
    <col min="1142" max="1142" width="13.85546875" bestFit="1" customWidth="1"/>
    <col min="1143" max="1143" width="10.7109375" bestFit="1" customWidth="1"/>
    <col min="1144" max="1144" width="13.85546875" bestFit="1" customWidth="1"/>
    <col min="1145" max="1145" width="10.7109375" bestFit="1" customWidth="1"/>
    <col min="1146" max="1146" width="13.85546875" bestFit="1" customWidth="1"/>
    <col min="1147" max="1147" width="10.7109375" bestFit="1" customWidth="1"/>
    <col min="1148" max="1148" width="13.85546875" bestFit="1" customWidth="1"/>
    <col min="1149" max="1149" width="10.7109375" bestFit="1" customWidth="1"/>
    <col min="1150" max="1150" width="13.85546875" bestFit="1" customWidth="1"/>
    <col min="1151" max="1151" width="10.7109375" bestFit="1" customWidth="1"/>
    <col min="1152" max="1152" width="13.85546875" bestFit="1" customWidth="1"/>
    <col min="1153" max="1153" width="10.7109375" bestFit="1" customWidth="1"/>
    <col min="1154" max="1154" width="13.85546875" bestFit="1" customWidth="1"/>
    <col min="1155" max="1155" width="10.7109375" bestFit="1" customWidth="1"/>
    <col min="1156" max="1156" width="13.85546875" bestFit="1" customWidth="1"/>
    <col min="1157" max="1157" width="10.7109375" bestFit="1" customWidth="1"/>
    <col min="1158" max="1158" width="13.85546875" bestFit="1" customWidth="1"/>
    <col min="1159" max="1159" width="10.7109375" bestFit="1" customWidth="1"/>
    <col min="1160" max="1160" width="13.85546875" bestFit="1" customWidth="1"/>
    <col min="1161" max="1161" width="10.7109375" bestFit="1" customWidth="1"/>
    <col min="1162" max="1162" width="13.85546875" bestFit="1" customWidth="1"/>
    <col min="1163" max="1163" width="10.7109375" bestFit="1" customWidth="1"/>
    <col min="1164" max="1164" width="13.85546875" bestFit="1" customWidth="1"/>
    <col min="1165" max="1165" width="10.7109375" bestFit="1" customWidth="1"/>
    <col min="1166" max="1166" width="13.85546875" bestFit="1" customWidth="1"/>
    <col min="1167" max="1167" width="10.7109375" bestFit="1" customWidth="1"/>
    <col min="1168" max="1168" width="13.85546875" bestFit="1" customWidth="1"/>
    <col min="1169" max="1169" width="10.7109375" bestFit="1" customWidth="1"/>
    <col min="1170" max="1170" width="13.85546875" bestFit="1" customWidth="1"/>
    <col min="1171" max="1171" width="10.7109375" bestFit="1" customWidth="1"/>
    <col min="1172" max="1172" width="13.85546875" bestFit="1" customWidth="1"/>
    <col min="1173" max="1173" width="10.7109375" bestFit="1" customWidth="1"/>
    <col min="1174" max="1174" width="13.85546875" bestFit="1" customWidth="1"/>
    <col min="1175" max="1175" width="10.7109375" bestFit="1" customWidth="1"/>
    <col min="1176" max="1176" width="13.85546875" bestFit="1" customWidth="1"/>
    <col min="1177" max="1177" width="10.7109375" bestFit="1" customWidth="1"/>
    <col min="1178" max="1178" width="13.85546875" bestFit="1" customWidth="1"/>
    <col min="1179" max="1179" width="10.7109375" bestFit="1" customWidth="1"/>
    <col min="1180" max="1180" width="13.85546875" bestFit="1" customWidth="1"/>
    <col min="1181" max="1181" width="10.7109375" bestFit="1" customWidth="1"/>
    <col min="1182" max="1182" width="13.85546875" bestFit="1" customWidth="1"/>
    <col min="1183" max="1183" width="10.7109375" bestFit="1" customWidth="1"/>
    <col min="1184" max="1184" width="13.85546875" bestFit="1" customWidth="1"/>
    <col min="1185" max="1185" width="10.7109375" bestFit="1" customWidth="1"/>
    <col min="1186" max="1186" width="13.85546875" bestFit="1" customWidth="1"/>
    <col min="1187" max="1187" width="10.7109375" bestFit="1" customWidth="1"/>
    <col min="1188" max="1188" width="13.85546875" bestFit="1" customWidth="1"/>
    <col min="1189" max="1189" width="10.7109375" bestFit="1" customWidth="1"/>
    <col min="1190" max="1190" width="13.85546875" bestFit="1" customWidth="1"/>
    <col min="1191" max="1191" width="10.7109375" bestFit="1" customWidth="1"/>
    <col min="1192" max="1192" width="13.85546875" bestFit="1" customWidth="1"/>
    <col min="1193" max="1193" width="10.7109375" bestFit="1" customWidth="1"/>
    <col min="1194" max="1194" width="13.85546875" bestFit="1" customWidth="1"/>
    <col min="1195" max="1195" width="10.7109375" bestFit="1" customWidth="1"/>
    <col min="1196" max="1196" width="13.85546875" bestFit="1" customWidth="1"/>
    <col min="1197" max="1197" width="10.7109375" bestFit="1" customWidth="1"/>
    <col min="1198" max="1198" width="13.85546875" bestFit="1" customWidth="1"/>
    <col min="1199" max="1199" width="10.7109375" bestFit="1" customWidth="1"/>
    <col min="1200" max="1200" width="13.85546875" bestFit="1" customWidth="1"/>
    <col min="1201" max="1201" width="10.7109375" bestFit="1" customWidth="1"/>
    <col min="1202" max="1202" width="13.85546875" bestFit="1" customWidth="1"/>
    <col min="1203" max="1203" width="10.7109375" bestFit="1" customWidth="1"/>
    <col min="1204" max="1204" width="13.85546875" bestFit="1" customWidth="1"/>
    <col min="1205" max="1205" width="10.7109375" bestFit="1" customWidth="1"/>
    <col min="1206" max="1206" width="13.85546875" bestFit="1" customWidth="1"/>
    <col min="1207" max="1207" width="10.7109375" bestFit="1" customWidth="1"/>
    <col min="1208" max="1208" width="13.85546875" bestFit="1" customWidth="1"/>
    <col min="1209" max="1209" width="10.7109375" bestFit="1" customWidth="1"/>
    <col min="1210" max="1210" width="13.85546875" bestFit="1" customWidth="1"/>
    <col min="1211" max="1211" width="10.7109375" bestFit="1" customWidth="1"/>
    <col min="1212" max="1212" width="13.85546875" bestFit="1" customWidth="1"/>
    <col min="1213" max="1213" width="10.7109375" bestFit="1" customWidth="1"/>
    <col min="1214" max="1214" width="13.85546875" bestFit="1" customWidth="1"/>
    <col min="1215" max="1215" width="10.7109375" bestFit="1" customWidth="1"/>
    <col min="1216" max="1216" width="13.85546875" bestFit="1" customWidth="1"/>
    <col min="1217" max="1217" width="10.7109375" bestFit="1" customWidth="1"/>
    <col min="1218" max="1218" width="13.85546875" bestFit="1" customWidth="1"/>
    <col min="1219" max="1219" width="10.7109375" bestFit="1" customWidth="1"/>
    <col min="1220" max="1220" width="13.85546875" bestFit="1" customWidth="1"/>
    <col min="1221" max="1221" width="10.7109375" bestFit="1" customWidth="1"/>
    <col min="1222" max="1222" width="13.85546875" bestFit="1" customWidth="1"/>
    <col min="1223" max="1223" width="10.7109375" bestFit="1" customWidth="1"/>
    <col min="1224" max="1224" width="13.85546875" bestFit="1" customWidth="1"/>
    <col min="1225" max="1225" width="10.7109375" bestFit="1" customWidth="1"/>
    <col min="1226" max="1226" width="13.85546875" bestFit="1" customWidth="1"/>
    <col min="1227" max="1227" width="10.7109375" bestFit="1" customWidth="1"/>
    <col min="1228" max="1228" width="13.85546875" bestFit="1" customWidth="1"/>
    <col min="1229" max="1229" width="10.7109375" bestFit="1" customWidth="1"/>
    <col min="1230" max="1230" width="13.85546875" bestFit="1" customWidth="1"/>
    <col min="1231" max="1231" width="10.7109375" bestFit="1" customWidth="1"/>
    <col min="1232" max="1232" width="13.85546875" bestFit="1" customWidth="1"/>
    <col min="1233" max="1233" width="10.7109375" bestFit="1" customWidth="1"/>
    <col min="1234" max="1234" width="13.85546875" bestFit="1" customWidth="1"/>
    <col min="1235" max="1235" width="10.7109375" bestFit="1" customWidth="1"/>
    <col min="1236" max="1236" width="13.85546875" bestFit="1" customWidth="1"/>
    <col min="1237" max="1237" width="10.7109375" bestFit="1" customWidth="1"/>
    <col min="1238" max="1238" width="13.85546875" bestFit="1" customWidth="1"/>
    <col min="1239" max="1239" width="10.7109375" bestFit="1" customWidth="1"/>
    <col min="1240" max="1240" width="13.85546875" bestFit="1" customWidth="1"/>
    <col min="1241" max="1241" width="10.7109375" bestFit="1" customWidth="1"/>
    <col min="1242" max="1242" width="13.85546875" bestFit="1" customWidth="1"/>
    <col min="1243" max="1243" width="10.7109375" bestFit="1" customWidth="1"/>
    <col min="1244" max="1244" width="13.85546875" bestFit="1" customWidth="1"/>
    <col min="1245" max="1245" width="10.7109375" bestFit="1" customWidth="1"/>
    <col min="1246" max="1246" width="13.85546875" bestFit="1" customWidth="1"/>
    <col min="1247" max="1247" width="10.7109375" bestFit="1" customWidth="1"/>
    <col min="1248" max="1248" width="13.85546875" bestFit="1" customWidth="1"/>
    <col min="1249" max="1249" width="10.7109375" bestFit="1" customWidth="1"/>
    <col min="1250" max="1250" width="13.85546875" bestFit="1" customWidth="1"/>
    <col min="1251" max="1251" width="10.7109375" bestFit="1" customWidth="1"/>
    <col min="1252" max="1252" width="13.85546875" bestFit="1" customWidth="1"/>
    <col min="1253" max="1253" width="10.7109375" bestFit="1" customWidth="1"/>
    <col min="1254" max="1254" width="13.85546875" bestFit="1" customWidth="1"/>
    <col min="1255" max="1255" width="10.7109375" bestFit="1" customWidth="1"/>
    <col min="1256" max="1256" width="13.85546875" bestFit="1" customWidth="1"/>
    <col min="1257" max="1257" width="10.7109375" bestFit="1" customWidth="1"/>
    <col min="1258" max="1258" width="13.85546875" bestFit="1" customWidth="1"/>
    <col min="1259" max="1259" width="10.7109375" bestFit="1" customWidth="1"/>
    <col min="1260" max="1260" width="13.85546875" bestFit="1" customWidth="1"/>
    <col min="1261" max="1261" width="10.7109375" bestFit="1" customWidth="1"/>
    <col min="1262" max="1262" width="13.85546875" bestFit="1" customWidth="1"/>
    <col min="1263" max="1263" width="10.7109375" bestFit="1" customWidth="1"/>
    <col min="1264" max="1264" width="13.85546875" bestFit="1" customWidth="1"/>
    <col min="1265" max="1265" width="10.7109375" bestFit="1" customWidth="1"/>
    <col min="1266" max="1266" width="13.85546875" bestFit="1" customWidth="1"/>
    <col min="1267" max="1267" width="10.7109375" bestFit="1" customWidth="1"/>
    <col min="1268" max="1268" width="13.85546875" bestFit="1" customWidth="1"/>
    <col min="1269" max="1269" width="10.7109375" bestFit="1" customWidth="1"/>
    <col min="1270" max="1270" width="13.85546875" bestFit="1" customWidth="1"/>
    <col min="1271" max="1271" width="10.7109375" bestFit="1" customWidth="1"/>
    <col min="1272" max="1272" width="13.85546875" bestFit="1" customWidth="1"/>
    <col min="1273" max="1273" width="10.7109375" bestFit="1" customWidth="1"/>
    <col min="1274" max="1274" width="13.85546875" bestFit="1" customWidth="1"/>
    <col min="1275" max="1275" width="10.7109375" bestFit="1" customWidth="1"/>
    <col min="1276" max="1276" width="13.85546875" bestFit="1" customWidth="1"/>
    <col min="1277" max="1277" width="10.7109375" bestFit="1" customWidth="1"/>
    <col min="1278" max="1278" width="13.85546875" bestFit="1" customWidth="1"/>
    <col min="1279" max="1279" width="10.7109375" bestFit="1" customWidth="1"/>
    <col min="1280" max="1280" width="13.85546875" bestFit="1" customWidth="1"/>
    <col min="1281" max="1281" width="10.7109375" bestFit="1" customWidth="1"/>
    <col min="1282" max="1282" width="13.85546875" bestFit="1" customWidth="1"/>
    <col min="1283" max="1283" width="10.7109375" bestFit="1" customWidth="1"/>
    <col min="1284" max="1284" width="13.85546875" bestFit="1" customWidth="1"/>
    <col min="1285" max="1285" width="10.7109375" bestFit="1" customWidth="1"/>
    <col min="1286" max="1286" width="13.85546875" bestFit="1" customWidth="1"/>
    <col min="1287" max="1287" width="10.7109375" bestFit="1" customWidth="1"/>
    <col min="1288" max="1288" width="13.85546875" bestFit="1" customWidth="1"/>
    <col min="1289" max="1289" width="10.7109375" bestFit="1" customWidth="1"/>
    <col min="1290" max="1290" width="13.85546875" bestFit="1" customWidth="1"/>
    <col min="1291" max="1291" width="10.7109375" bestFit="1" customWidth="1"/>
    <col min="1292" max="1292" width="13.85546875" bestFit="1" customWidth="1"/>
    <col min="1293" max="1293" width="10.7109375" bestFit="1" customWidth="1"/>
    <col min="1294" max="1294" width="13.85546875" bestFit="1" customWidth="1"/>
    <col min="1295" max="1295" width="10.7109375" bestFit="1" customWidth="1"/>
    <col min="1296" max="1296" width="13.85546875" bestFit="1" customWidth="1"/>
    <col min="1297" max="1297" width="10.7109375" bestFit="1" customWidth="1"/>
    <col min="1298" max="1298" width="13.85546875" bestFit="1" customWidth="1"/>
    <col min="1299" max="1299" width="10.7109375" bestFit="1" customWidth="1"/>
    <col min="1300" max="1300" width="13.85546875" bestFit="1" customWidth="1"/>
    <col min="1301" max="1301" width="10.7109375" bestFit="1" customWidth="1"/>
    <col min="1302" max="1302" width="13.85546875" bestFit="1" customWidth="1"/>
    <col min="1303" max="1303" width="10.7109375" bestFit="1" customWidth="1"/>
    <col min="1304" max="1304" width="13.85546875" bestFit="1" customWidth="1"/>
    <col min="1305" max="1305" width="10.7109375" bestFit="1" customWidth="1"/>
    <col min="1306" max="1306" width="13.85546875" bestFit="1" customWidth="1"/>
    <col min="1307" max="1307" width="10.7109375" bestFit="1" customWidth="1"/>
    <col min="1308" max="1308" width="13.85546875" bestFit="1" customWidth="1"/>
    <col min="1309" max="1309" width="10.7109375" bestFit="1" customWidth="1"/>
    <col min="1310" max="1310" width="13.85546875" bestFit="1" customWidth="1"/>
    <col min="1311" max="1311" width="10.7109375" bestFit="1" customWidth="1"/>
    <col min="1312" max="1312" width="13.85546875" bestFit="1" customWidth="1"/>
    <col min="1313" max="1313" width="10.7109375" bestFit="1" customWidth="1"/>
    <col min="1314" max="1314" width="13.85546875" bestFit="1" customWidth="1"/>
    <col min="1315" max="1315" width="10.7109375" bestFit="1" customWidth="1"/>
    <col min="1316" max="1316" width="13.85546875" bestFit="1" customWidth="1"/>
    <col min="1317" max="1317" width="10.7109375" bestFit="1" customWidth="1"/>
    <col min="1318" max="1318" width="13.85546875" bestFit="1" customWidth="1"/>
    <col min="1319" max="1319" width="10.7109375" bestFit="1" customWidth="1"/>
    <col min="1320" max="1320" width="13.85546875" bestFit="1" customWidth="1"/>
    <col min="1321" max="1321" width="10.7109375" bestFit="1" customWidth="1"/>
    <col min="1322" max="1322" width="13.85546875" bestFit="1" customWidth="1"/>
    <col min="1323" max="1323" width="10.7109375" bestFit="1" customWidth="1"/>
    <col min="1324" max="1324" width="13.85546875" bestFit="1" customWidth="1"/>
    <col min="1325" max="1325" width="10.7109375" bestFit="1" customWidth="1"/>
    <col min="1326" max="1326" width="13.85546875" bestFit="1" customWidth="1"/>
    <col min="1327" max="1327" width="10.7109375" bestFit="1" customWidth="1"/>
    <col min="1328" max="1328" width="13.85546875" bestFit="1" customWidth="1"/>
    <col min="1329" max="1329" width="10.7109375" bestFit="1" customWidth="1"/>
    <col min="1330" max="1330" width="13.85546875" bestFit="1" customWidth="1"/>
    <col min="1331" max="1331" width="10.7109375" bestFit="1" customWidth="1"/>
    <col min="1332" max="1332" width="13.85546875" bestFit="1" customWidth="1"/>
    <col min="1333" max="1333" width="10.7109375" bestFit="1" customWidth="1"/>
    <col min="1334" max="1334" width="13.85546875" bestFit="1" customWidth="1"/>
    <col min="1335" max="1335" width="10.7109375" bestFit="1" customWidth="1"/>
    <col min="1336" max="1336" width="13.85546875" bestFit="1" customWidth="1"/>
    <col min="1337" max="1337" width="10.7109375" bestFit="1" customWidth="1"/>
    <col min="1338" max="1338" width="13.85546875" bestFit="1" customWidth="1"/>
    <col min="1339" max="1339" width="10.7109375" bestFit="1" customWidth="1"/>
    <col min="1340" max="1340" width="13.85546875" bestFit="1" customWidth="1"/>
    <col min="1341" max="1341" width="10.7109375" bestFit="1" customWidth="1"/>
    <col min="1342" max="1342" width="13.85546875" bestFit="1" customWidth="1"/>
    <col min="1343" max="1343" width="10.7109375" bestFit="1" customWidth="1"/>
    <col min="1344" max="1344" width="13.85546875" bestFit="1" customWidth="1"/>
    <col min="1345" max="1345" width="10.7109375" bestFit="1" customWidth="1"/>
    <col min="1346" max="1346" width="13.85546875" bestFit="1" customWidth="1"/>
    <col min="1347" max="1347" width="10.7109375" bestFit="1" customWidth="1"/>
    <col min="1348" max="1348" width="13.85546875" bestFit="1" customWidth="1"/>
    <col min="1349" max="1349" width="10.7109375" bestFit="1" customWidth="1"/>
    <col min="1350" max="1350" width="13.85546875" bestFit="1" customWidth="1"/>
    <col min="1351" max="1351" width="10.7109375" bestFit="1" customWidth="1"/>
    <col min="1352" max="1352" width="13.85546875" bestFit="1" customWidth="1"/>
    <col min="1353" max="1353" width="10.7109375" bestFit="1" customWidth="1"/>
    <col min="1354" max="1354" width="13.85546875" bestFit="1" customWidth="1"/>
    <col min="1355" max="1355" width="10.7109375" bestFit="1" customWidth="1"/>
    <col min="1356" max="1356" width="13.85546875" bestFit="1" customWidth="1"/>
    <col min="1357" max="1357" width="10.7109375" bestFit="1" customWidth="1"/>
    <col min="1358" max="1358" width="13.85546875" bestFit="1" customWidth="1"/>
    <col min="1359" max="1359" width="10.7109375" bestFit="1" customWidth="1"/>
    <col min="1360" max="1360" width="13.85546875" bestFit="1" customWidth="1"/>
    <col min="1361" max="1361" width="10.7109375" bestFit="1" customWidth="1"/>
    <col min="1362" max="1362" width="13.85546875" bestFit="1" customWidth="1"/>
    <col min="1363" max="1363" width="10.7109375" bestFit="1" customWidth="1"/>
    <col min="1364" max="1364" width="13.85546875" bestFit="1" customWidth="1"/>
    <col min="1365" max="1365" width="10.7109375" bestFit="1" customWidth="1"/>
    <col min="1366" max="1366" width="13.85546875" bestFit="1" customWidth="1"/>
    <col min="1367" max="1367" width="10.7109375" bestFit="1" customWidth="1"/>
    <col min="1368" max="1368" width="13.85546875" bestFit="1" customWidth="1"/>
    <col min="1369" max="1369" width="10.7109375" bestFit="1" customWidth="1"/>
    <col min="1370" max="1370" width="13.85546875" bestFit="1" customWidth="1"/>
    <col min="1371" max="1371" width="10.7109375" bestFit="1" customWidth="1"/>
    <col min="1372" max="1372" width="13.85546875" bestFit="1" customWidth="1"/>
    <col min="1373" max="1373" width="10.7109375" bestFit="1" customWidth="1"/>
    <col min="1374" max="1374" width="13.85546875" bestFit="1" customWidth="1"/>
    <col min="1375" max="1375" width="10.7109375" bestFit="1" customWidth="1"/>
    <col min="1376" max="1376" width="13.85546875" bestFit="1" customWidth="1"/>
    <col min="1377" max="1377" width="10.7109375" bestFit="1" customWidth="1"/>
    <col min="1378" max="1378" width="13.85546875" bestFit="1" customWidth="1"/>
    <col min="1379" max="1379" width="10.7109375" bestFit="1" customWidth="1"/>
    <col min="1380" max="1380" width="13.85546875" bestFit="1" customWidth="1"/>
    <col min="1381" max="1381" width="10.7109375" bestFit="1" customWidth="1"/>
    <col min="1382" max="1382" width="13.85546875" bestFit="1" customWidth="1"/>
    <col min="1383" max="1383" width="10.7109375" bestFit="1" customWidth="1"/>
    <col min="1384" max="1384" width="13.85546875" bestFit="1" customWidth="1"/>
    <col min="1385" max="1385" width="10.7109375" bestFit="1" customWidth="1"/>
    <col min="1386" max="1386" width="13.85546875" bestFit="1" customWidth="1"/>
    <col min="1387" max="1387" width="10.7109375" bestFit="1" customWidth="1"/>
    <col min="1388" max="1388" width="13.85546875" bestFit="1" customWidth="1"/>
    <col min="1389" max="1389" width="10.7109375" bestFit="1" customWidth="1"/>
    <col min="1390" max="1390" width="13.85546875" bestFit="1" customWidth="1"/>
    <col min="1391" max="1391" width="10.7109375" bestFit="1" customWidth="1"/>
    <col min="1392" max="1392" width="13.85546875" bestFit="1" customWidth="1"/>
    <col min="1393" max="1393" width="10.7109375" bestFit="1" customWidth="1"/>
    <col min="1394" max="1394" width="13.85546875" bestFit="1" customWidth="1"/>
    <col min="1395" max="1395" width="10.7109375" bestFit="1" customWidth="1"/>
    <col min="1396" max="1396" width="13.85546875" bestFit="1" customWidth="1"/>
    <col min="1397" max="1397" width="10.7109375" bestFit="1" customWidth="1"/>
    <col min="1398" max="1398" width="13.85546875" bestFit="1" customWidth="1"/>
    <col min="1399" max="1399" width="10.7109375" bestFit="1" customWidth="1"/>
    <col min="1400" max="1400" width="13.85546875" bestFit="1" customWidth="1"/>
    <col min="1401" max="1401" width="10.7109375" bestFit="1" customWidth="1"/>
    <col min="1402" max="1402" width="13.85546875" bestFit="1" customWidth="1"/>
    <col min="1403" max="1403" width="10.7109375" bestFit="1" customWidth="1"/>
    <col min="1404" max="1404" width="13.85546875" bestFit="1" customWidth="1"/>
    <col min="1405" max="1405" width="10.7109375" bestFit="1" customWidth="1"/>
    <col min="1406" max="1406" width="13.85546875" bestFit="1" customWidth="1"/>
    <col min="1407" max="1407" width="10.7109375" bestFit="1" customWidth="1"/>
    <col min="1408" max="1408" width="13.85546875" bestFit="1" customWidth="1"/>
    <col min="1409" max="1409" width="10.7109375" bestFit="1" customWidth="1"/>
    <col min="1410" max="1410" width="13.85546875" bestFit="1" customWidth="1"/>
    <col min="1411" max="1411" width="10.7109375" bestFit="1" customWidth="1"/>
    <col min="1412" max="1412" width="13.85546875" bestFit="1" customWidth="1"/>
    <col min="1413" max="1413" width="10.7109375" bestFit="1" customWidth="1"/>
    <col min="1414" max="1414" width="13.85546875" bestFit="1" customWidth="1"/>
    <col min="1415" max="1415" width="10.7109375" bestFit="1" customWidth="1"/>
    <col min="1416" max="1416" width="13.85546875" bestFit="1" customWidth="1"/>
    <col min="1417" max="1417" width="10.7109375" bestFit="1" customWidth="1"/>
    <col min="1418" max="1418" width="13.85546875" bestFit="1" customWidth="1"/>
    <col min="1419" max="1419" width="10.7109375" bestFit="1" customWidth="1"/>
    <col min="1420" max="1420" width="13.85546875" bestFit="1" customWidth="1"/>
    <col min="1421" max="1421" width="10.7109375" bestFit="1" customWidth="1"/>
    <col min="1422" max="1422" width="13.85546875" bestFit="1" customWidth="1"/>
    <col min="1423" max="1423" width="10.7109375" bestFit="1" customWidth="1"/>
    <col min="1424" max="1424" width="13.85546875" bestFit="1" customWidth="1"/>
    <col min="1425" max="1425" width="10.7109375" bestFit="1" customWidth="1"/>
    <col min="1426" max="1426" width="13.85546875" bestFit="1" customWidth="1"/>
    <col min="1427" max="1427" width="10.7109375" bestFit="1" customWidth="1"/>
    <col min="1428" max="1428" width="13.85546875" bestFit="1" customWidth="1"/>
    <col min="1429" max="1429" width="10.7109375" bestFit="1" customWidth="1"/>
    <col min="1430" max="1430" width="13.85546875" bestFit="1" customWidth="1"/>
    <col min="1431" max="1431" width="10.7109375" bestFit="1" customWidth="1"/>
    <col min="1432" max="1432" width="13.85546875" bestFit="1" customWidth="1"/>
    <col min="1433" max="1433" width="10.7109375" bestFit="1" customWidth="1"/>
    <col min="1434" max="1434" width="13.85546875" bestFit="1" customWidth="1"/>
    <col min="1435" max="1435" width="10.7109375" bestFit="1" customWidth="1"/>
    <col min="1436" max="1436" width="13.85546875" bestFit="1" customWidth="1"/>
    <col min="1437" max="1437" width="10.7109375" bestFit="1" customWidth="1"/>
    <col min="1438" max="1438" width="13.85546875" bestFit="1" customWidth="1"/>
    <col min="1439" max="1439" width="10.7109375" bestFit="1" customWidth="1"/>
    <col min="1440" max="1440" width="13.85546875" bestFit="1" customWidth="1"/>
    <col min="1441" max="1441" width="10.7109375" bestFit="1" customWidth="1"/>
    <col min="1442" max="1442" width="13.85546875" bestFit="1" customWidth="1"/>
    <col min="1443" max="1443" width="10.7109375" bestFit="1" customWidth="1"/>
    <col min="1444" max="1444" width="13.85546875" bestFit="1" customWidth="1"/>
    <col min="1445" max="1445" width="10.7109375" bestFit="1" customWidth="1"/>
    <col min="1446" max="1446" width="13.85546875" bestFit="1" customWidth="1"/>
    <col min="1447" max="1447" width="10.7109375" bestFit="1" customWidth="1"/>
    <col min="1448" max="1448" width="13.85546875" bestFit="1" customWidth="1"/>
    <col min="1449" max="1449" width="10.7109375" bestFit="1" customWidth="1"/>
    <col min="1450" max="1450" width="13.85546875" bestFit="1" customWidth="1"/>
    <col min="1451" max="1451" width="10.7109375" bestFit="1" customWidth="1"/>
    <col min="1452" max="1452" width="13.85546875" bestFit="1" customWidth="1"/>
    <col min="1453" max="1453" width="10.7109375" bestFit="1" customWidth="1"/>
    <col min="1454" max="1454" width="13.85546875" bestFit="1" customWidth="1"/>
    <col min="1455" max="1455" width="10.7109375" bestFit="1" customWidth="1"/>
    <col min="1456" max="1456" width="13.85546875" bestFit="1" customWidth="1"/>
    <col min="1457" max="1457" width="10.7109375" bestFit="1" customWidth="1"/>
    <col min="1458" max="1458" width="13.85546875" bestFit="1" customWidth="1"/>
    <col min="1459" max="1459" width="10.7109375" bestFit="1" customWidth="1"/>
    <col min="1460" max="1460" width="13.85546875" bestFit="1" customWidth="1"/>
    <col min="1461" max="1461" width="10.7109375" bestFit="1" customWidth="1"/>
    <col min="1462" max="1462" width="13.85546875" bestFit="1" customWidth="1"/>
    <col min="1463" max="1463" width="10.7109375" bestFit="1" customWidth="1"/>
    <col min="1464" max="1464" width="13.85546875" bestFit="1" customWidth="1"/>
    <col min="1465" max="1465" width="10.7109375" bestFit="1" customWidth="1"/>
    <col min="1466" max="1466" width="13.85546875" bestFit="1" customWidth="1"/>
    <col min="1467" max="1467" width="10.7109375" bestFit="1" customWidth="1"/>
    <col min="1468" max="1468" width="13.85546875" bestFit="1" customWidth="1"/>
    <col min="1469" max="1469" width="10.7109375" bestFit="1" customWidth="1"/>
    <col min="1470" max="1470" width="13.85546875" bestFit="1" customWidth="1"/>
    <col min="1471" max="1471" width="10.7109375" bestFit="1" customWidth="1"/>
    <col min="1472" max="1472" width="13.85546875" bestFit="1" customWidth="1"/>
    <col min="1473" max="1473" width="10.7109375" bestFit="1" customWidth="1"/>
    <col min="1474" max="1474" width="13.85546875" bestFit="1" customWidth="1"/>
    <col min="1475" max="1475" width="10.7109375" bestFit="1" customWidth="1"/>
    <col min="1476" max="1476" width="13.85546875" bestFit="1" customWidth="1"/>
    <col min="1477" max="1477" width="10.7109375" bestFit="1" customWidth="1"/>
    <col min="1478" max="1478" width="13.85546875" bestFit="1" customWidth="1"/>
    <col min="1479" max="1479" width="10.7109375" bestFit="1" customWidth="1"/>
    <col min="1480" max="1480" width="13.85546875" bestFit="1" customWidth="1"/>
    <col min="1481" max="1481" width="10.7109375" bestFit="1" customWidth="1"/>
    <col min="1482" max="1482" width="13.85546875" bestFit="1" customWidth="1"/>
    <col min="1483" max="1483" width="10.7109375" bestFit="1" customWidth="1"/>
    <col min="1484" max="1484" width="13.85546875" bestFit="1" customWidth="1"/>
    <col min="1485" max="1485" width="10.7109375" bestFit="1" customWidth="1"/>
    <col min="1486" max="1486" width="13.85546875" bestFit="1" customWidth="1"/>
    <col min="1487" max="1487" width="10.7109375" bestFit="1" customWidth="1"/>
    <col min="1488" max="1488" width="13.85546875" bestFit="1" customWidth="1"/>
    <col min="1489" max="1489" width="10.7109375" bestFit="1" customWidth="1"/>
    <col min="1490" max="1490" width="13.85546875" bestFit="1" customWidth="1"/>
    <col min="1491" max="1491" width="10.7109375" bestFit="1" customWidth="1"/>
    <col min="1492" max="1492" width="13.85546875" bestFit="1" customWidth="1"/>
    <col min="1493" max="1493" width="10.7109375" bestFit="1" customWidth="1"/>
    <col min="1494" max="1494" width="13.85546875" bestFit="1" customWidth="1"/>
    <col min="1495" max="1495" width="10.7109375" bestFit="1" customWidth="1"/>
    <col min="1496" max="1496" width="13.85546875" bestFit="1" customWidth="1"/>
    <col min="1497" max="1497" width="10.7109375" bestFit="1" customWidth="1"/>
    <col min="1498" max="1498" width="13.85546875" bestFit="1" customWidth="1"/>
    <col min="1499" max="1499" width="10.7109375" bestFit="1" customWidth="1"/>
    <col min="1500" max="1500" width="13.85546875" bestFit="1" customWidth="1"/>
    <col min="1501" max="1501" width="10.7109375" bestFit="1" customWidth="1"/>
    <col min="1502" max="1502" width="13.85546875" bestFit="1" customWidth="1"/>
    <col min="1503" max="1503" width="10.7109375" bestFit="1" customWidth="1"/>
    <col min="1504" max="1504" width="13.85546875" bestFit="1" customWidth="1"/>
    <col min="1505" max="1505" width="10.7109375" bestFit="1" customWidth="1"/>
    <col min="1506" max="1506" width="13.85546875" bestFit="1" customWidth="1"/>
    <col min="1507" max="1507" width="10.7109375" bestFit="1" customWidth="1"/>
    <col min="1508" max="1508" width="13.85546875" bestFit="1" customWidth="1"/>
    <col min="1509" max="1509" width="10.7109375" bestFit="1" customWidth="1"/>
    <col min="1510" max="1510" width="13.85546875" bestFit="1" customWidth="1"/>
    <col min="1511" max="1511" width="10.7109375" bestFit="1" customWidth="1"/>
    <col min="1512" max="1512" width="13.85546875" bestFit="1" customWidth="1"/>
    <col min="1513" max="1513" width="10.7109375" bestFit="1" customWidth="1"/>
    <col min="1514" max="1514" width="13.85546875" bestFit="1" customWidth="1"/>
    <col min="1515" max="1515" width="10.7109375" bestFit="1" customWidth="1"/>
    <col min="1516" max="1516" width="13.85546875" bestFit="1" customWidth="1"/>
    <col min="1517" max="1517" width="10.7109375" bestFit="1" customWidth="1"/>
    <col min="1518" max="1518" width="13.85546875" bestFit="1" customWidth="1"/>
    <col min="1519" max="1519" width="10.7109375" bestFit="1" customWidth="1"/>
    <col min="1520" max="1520" width="13.85546875" bestFit="1" customWidth="1"/>
    <col min="1521" max="1521" width="10.7109375" bestFit="1" customWidth="1"/>
    <col min="1522" max="1522" width="13.85546875" bestFit="1" customWidth="1"/>
    <col min="1523" max="1523" width="10.7109375" bestFit="1" customWidth="1"/>
    <col min="1524" max="1524" width="13.85546875" bestFit="1" customWidth="1"/>
    <col min="1525" max="1525" width="10.7109375" bestFit="1" customWidth="1"/>
    <col min="1526" max="1526" width="13.85546875" bestFit="1" customWidth="1"/>
    <col min="1527" max="1527" width="10.7109375" bestFit="1" customWidth="1"/>
    <col min="1528" max="1528" width="13.85546875" bestFit="1" customWidth="1"/>
    <col min="1529" max="1529" width="10.7109375" bestFit="1" customWidth="1"/>
    <col min="1530" max="1530" width="13.85546875" bestFit="1" customWidth="1"/>
    <col min="1531" max="1531" width="10.7109375" bestFit="1" customWidth="1"/>
    <col min="1532" max="1532" width="13.85546875" bestFit="1" customWidth="1"/>
    <col min="1533" max="1533" width="10.7109375" bestFit="1" customWidth="1"/>
    <col min="1534" max="1534" width="13.85546875" bestFit="1" customWidth="1"/>
    <col min="1535" max="1535" width="10.7109375" bestFit="1" customWidth="1"/>
    <col min="1536" max="1536" width="13.85546875" bestFit="1" customWidth="1"/>
    <col min="1537" max="1537" width="10.7109375" bestFit="1" customWidth="1"/>
    <col min="1538" max="1538" width="13.85546875" bestFit="1" customWidth="1"/>
    <col min="1539" max="1539" width="10.7109375" bestFit="1" customWidth="1"/>
    <col min="1540" max="1540" width="13.85546875" bestFit="1" customWidth="1"/>
    <col min="1541" max="1541" width="10.7109375" bestFit="1" customWidth="1"/>
    <col min="1542" max="1542" width="13.85546875" bestFit="1" customWidth="1"/>
    <col min="1543" max="1543" width="10.7109375" bestFit="1" customWidth="1"/>
    <col min="1544" max="1544" width="13.85546875" bestFit="1" customWidth="1"/>
    <col min="1545" max="1545" width="10.7109375" bestFit="1" customWidth="1"/>
    <col min="1546" max="1546" width="13.85546875" bestFit="1" customWidth="1"/>
    <col min="1547" max="1547" width="10.7109375" bestFit="1" customWidth="1"/>
    <col min="1548" max="1548" width="13.85546875" bestFit="1" customWidth="1"/>
    <col min="1549" max="1549" width="10.7109375" bestFit="1" customWidth="1"/>
    <col min="1550" max="1550" width="13.85546875" bestFit="1" customWidth="1"/>
    <col min="1551" max="1551" width="10.7109375" bestFit="1" customWidth="1"/>
    <col min="1552" max="1552" width="13.85546875" bestFit="1" customWidth="1"/>
    <col min="1553" max="1553" width="10.7109375" bestFit="1" customWidth="1"/>
    <col min="1554" max="1554" width="13.85546875" bestFit="1" customWidth="1"/>
    <col min="1555" max="1555" width="10.7109375" bestFit="1" customWidth="1"/>
    <col min="1556" max="1556" width="13.85546875" bestFit="1" customWidth="1"/>
    <col min="1557" max="1557" width="10.7109375" bestFit="1" customWidth="1"/>
    <col min="1558" max="1558" width="13.85546875" bestFit="1" customWidth="1"/>
    <col min="1559" max="1559" width="10.7109375" bestFit="1" customWidth="1"/>
    <col min="1560" max="1560" width="13.85546875" bestFit="1" customWidth="1"/>
    <col min="1561" max="1561" width="10.7109375" bestFit="1" customWidth="1"/>
    <col min="1562" max="1562" width="13.85546875" bestFit="1" customWidth="1"/>
    <col min="1563" max="1563" width="10.7109375" bestFit="1" customWidth="1"/>
    <col min="1564" max="1564" width="13.85546875" bestFit="1" customWidth="1"/>
    <col min="1565" max="1565" width="10.7109375" bestFit="1" customWidth="1"/>
    <col min="1566" max="1566" width="13.85546875" bestFit="1" customWidth="1"/>
    <col min="1567" max="1567" width="10.7109375" bestFit="1" customWidth="1"/>
    <col min="1568" max="1568" width="13.85546875" bestFit="1" customWidth="1"/>
    <col min="1569" max="1569" width="10.7109375" bestFit="1" customWidth="1"/>
    <col min="1570" max="1570" width="13.85546875" bestFit="1" customWidth="1"/>
    <col min="1571" max="1571" width="10.7109375" bestFit="1" customWidth="1"/>
    <col min="1572" max="1572" width="13.85546875" bestFit="1" customWidth="1"/>
    <col min="1573" max="1573" width="10.7109375" bestFit="1" customWidth="1"/>
    <col min="1574" max="1574" width="13.85546875" bestFit="1" customWidth="1"/>
    <col min="1575" max="1575" width="10.7109375" bestFit="1" customWidth="1"/>
    <col min="1576" max="1576" width="13.85546875" bestFit="1" customWidth="1"/>
    <col min="1577" max="1577" width="10.7109375" bestFit="1" customWidth="1"/>
    <col min="1578" max="1578" width="13.85546875" bestFit="1" customWidth="1"/>
    <col min="1579" max="1579" width="10.7109375" bestFit="1" customWidth="1"/>
    <col min="1580" max="1580" width="13.85546875" bestFit="1" customWidth="1"/>
    <col min="1581" max="1581" width="10.7109375" bestFit="1" customWidth="1"/>
    <col min="1582" max="1582" width="13.85546875" bestFit="1" customWidth="1"/>
    <col min="1583" max="1583" width="10.7109375" bestFit="1" customWidth="1"/>
    <col min="1584" max="1584" width="13.85546875" bestFit="1" customWidth="1"/>
    <col min="1585" max="1585" width="10.7109375" bestFit="1" customWidth="1"/>
    <col min="1586" max="1586" width="13.85546875" bestFit="1" customWidth="1"/>
    <col min="1587" max="1587" width="10.7109375" bestFit="1" customWidth="1"/>
    <col min="1588" max="1588" width="13.85546875" bestFit="1" customWidth="1"/>
    <col min="1589" max="1589" width="10.7109375" bestFit="1" customWidth="1"/>
    <col min="1590" max="1590" width="13.85546875" bestFit="1" customWidth="1"/>
    <col min="1591" max="1591" width="10.7109375" bestFit="1" customWidth="1"/>
    <col min="1592" max="1592" width="13.85546875" bestFit="1" customWidth="1"/>
    <col min="1593" max="1593" width="10.7109375" bestFit="1" customWidth="1"/>
    <col min="1594" max="1594" width="13.85546875" bestFit="1" customWidth="1"/>
    <col min="1595" max="1595" width="10.7109375" bestFit="1" customWidth="1"/>
    <col min="1596" max="1596" width="13.85546875" bestFit="1" customWidth="1"/>
    <col min="1597" max="1597" width="10.7109375" bestFit="1" customWidth="1"/>
    <col min="1598" max="1598" width="13.85546875" bestFit="1" customWidth="1"/>
    <col min="1599" max="1599" width="10.7109375" bestFit="1" customWidth="1"/>
    <col min="1600" max="1600" width="13.85546875" bestFit="1" customWidth="1"/>
    <col min="1601" max="1601" width="10.7109375" bestFit="1" customWidth="1"/>
    <col min="1602" max="1602" width="13.85546875" bestFit="1" customWidth="1"/>
    <col min="1603" max="1603" width="10.7109375" bestFit="1" customWidth="1"/>
    <col min="1604" max="1604" width="13.85546875" bestFit="1" customWidth="1"/>
    <col min="1605" max="1605" width="10.7109375" bestFit="1" customWidth="1"/>
    <col min="1606" max="1606" width="13.85546875" bestFit="1" customWidth="1"/>
    <col min="1607" max="1607" width="10.7109375" bestFit="1" customWidth="1"/>
    <col min="1608" max="1608" width="13.85546875" bestFit="1" customWidth="1"/>
    <col min="1609" max="1609" width="10.7109375" bestFit="1" customWidth="1"/>
    <col min="1610" max="1610" width="13.85546875" bestFit="1" customWidth="1"/>
    <col min="1611" max="1611" width="10.7109375" bestFit="1" customWidth="1"/>
    <col min="1612" max="1612" width="13.85546875" bestFit="1" customWidth="1"/>
    <col min="1613" max="1613" width="10.7109375" bestFit="1" customWidth="1"/>
    <col min="1614" max="1614" width="13.85546875" bestFit="1" customWidth="1"/>
    <col min="1615" max="1615" width="10.7109375" bestFit="1" customWidth="1"/>
    <col min="1616" max="1616" width="13.85546875" bestFit="1" customWidth="1"/>
    <col min="1617" max="1617" width="10.7109375" bestFit="1" customWidth="1"/>
    <col min="1618" max="1618" width="13.85546875" bestFit="1" customWidth="1"/>
    <col min="1619" max="1619" width="10.7109375" bestFit="1" customWidth="1"/>
    <col min="1620" max="1620" width="13.85546875" bestFit="1" customWidth="1"/>
    <col min="1621" max="1621" width="10.7109375" bestFit="1" customWidth="1"/>
    <col min="1622" max="1622" width="13.85546875" bestFit="1" customWidth="1"/>
    <col min="1623" max="1623" width="10.7109375" bestFit="1" customWidth="1"/>
    <col min="1624" max="1624" width="13.85546875" bestFit="1" customWidth="1"/>
    <col min="1625" max="1625" width="10.7109375" bestFit="1" customWidth="1"/>
    <col min="1626" max="1626" width="13.85546875" bestFit="1" customWidth="1"/>
    <col min="1627" max="1627" width="10.7109375" bestFit="1" customWidth="1"/>
    <col min="1628" max="1628" width="13.85546875" bestFit="1" customWidth="1"/>
    <col min="1629" max="1629" width="10.7109375" bestFit="1" customWidth="1"/>
    <col min="1630" max="1630" width="13.85546875" bestFit="1" customWidth="1"/>
    <col min="1631" max="1631" width="10.7109375" bestFit="1" customWidth="1"/>
    <col min="1632" max="1632" width="13.85546875" bestFit="1" customWidth="1"/>
    <col min="1633" max="1633" width="10.7109375" bestFit="1" customWidth="1"/>
    <col min="1634" max="1634" width="13.85546875" bestFit="1" customWidth="1"/>
    <col min="1635" max="1635" width="10.7109375" bestFit="1" customWidth="1"/>
    <col min="1636" max="1636" width="13.85546875" bestFit="1" customWidth="1"/>
    <col min="1637" max="1637" width="10.7109375" bestFit="1" customWidth="1"/>
    <col min="1638" max="1638" width="13.85546875" bestFit="1" customWidth="1"/>
    <col min="1639" max="1639" width="10.7109375" bestFit="1" customWidth="1"/>
    <col min="1640" max="1640" width="13.85546875" bestFit="1" customWidth="1"/>
    <col min="1641" max="1641" width="10.7109375" bestFit="1" customWidth="1"/>
    <col min="1642" max="1642" width="13.85546875" bestFit="1" customWidth="1"/>
    <col min="1643" max="1643" width="10.7109375" bestFit="1" customWidth="1"/>
    <col min="1644" max="1644" width="13.85546875" bestFit="1" customWidth="1"/>
    <col min="1645" max="1645" width="10.7109375" bestFit="1" customWidth="1"/>
    <col min="1646" max="1646" width="13.85546875" bestFit="1" customWidth="1"/>
    <col min="1647" max="1647" width="10.7109375" bestFit="1" customWidth="1"/>
    <col min="1648" max="1648" width="13.85546875" bestFit="1" customWidth="1"/>
    <col min="1649" max="1649" width="10.7109375" bestFit="1" customWidth="1"/>
    <col min="1650" max="1650" width="13.85546875" bestFit="1" customWidth="1"/>
    <col min="1651" max="1651" width="10.7109375" bestFit="1" customWidth="1"/>
    <col min="1652" max="1652" width="13.85546875" bestFit="1" customWidth="1"/>
    <col min="1653" max="1653" width="10.7109375" bestFit="1" customWidth="1"/>
    <col min="1654" max="1654" width="13.85546875" bestFit="1" customWidth="1"/>
    <col min="1655" max="1655" width="10.7109375" bestFit="1" customWidth="1"/>
    <col min="1656" max="1656" width="13.85546875" bestFit="1" customWidth="1"/>
    <col min="1657" max="1657" width="10.7109375" bestFit="1" customWidth="1"/>
    <col min="1658" max="1658" width="13.85546875" bestFit="1" customWidth="1"/>
    <col min="1659" max="1659" width="10.7109375" bestFit="1" customWidth="1"/>
    <col min="1660" max="1660" width="13.85546875" bestFit="1" customWidth="1"/>
    <col min="1661" max="1661" width="10.7109375" bestFit="1" customWidth="1"/>
    <col min="1662" max="1662" width="13.85546875" bestFit="1" customWidth="1"/>
    <col min="1663" max="1663" width="10.7109375" bestFit="1" customWidth="1"/>
    <col min="1664" max="1664" width="13.85546875" bestFit="1" customWidth="1"/>
    <col min="1665" max="1665" width="10.7109375" bestFit="1" customWidth="1"/>
    <col min="1666" max="1666" width="13.85546875" bestFit="1" customWidth="1"/>
    <col min="1667" max="1667" width="10.7109375" bestFit="1" customWidth="1"/>
    <col min="1668" max="1668" width="13.85546875" bestFit="1" customWidth="1"/>
    <col min="1669" max="1669" width="10.7109375" bestFit="1" customWidth="1"/>
    <col min="1670" max="1670" width="13.85546875" bestFit="1" customWidth="1"/>
    <col min="1671" max="1671" width="10.7109375" bestFit="1" customWidth="1"/>
    <col min="1672" max="1672" width="13.85546875" bestFit="1" customWidth="1"/>
    <col min="1673" max="1673" width="10.7109375" bestFit="1" customWidth="1"/>
    <col min="1674" max="1674" width="13.85546875" bestFit="1" customWidth="1"/>
    <col min="1675" max="1675" width="10.7109375" bestFit="1" customWidth="1"/>
    <col min="1676" max="1676" width="13.85546875" bestFit="1" customWidth="1"/>
    <col min="1677" max="1677" width="10.7109375" bestFit="1" customWidth="1"/>
    <col min="1678" max="1678" width="13.85546875" bestFit="1" customWidth="1"/>
    <col min="1679" max="1679" width="10.7109375" bestFit="1" customWidth="1"/>
    <col min="1680" max="1680" width="13.85546875" bestFit="1" customWidth="1"/>
    <col min="1681" max="1681" width="10.7109375" bestFit="1" customWidth="1"/>
    <col min="1682" max="1682" width="13.85546875" bestFit="1" customWidth="1"/>
    <col min="1683" max="1683" width="10.7109375" bestFit="1" customWidth="1"/>
    <col min="1684" max="1684" width="13.85546875" bestFit="1" customWidth="1"/>
    <col min="1685" max="1685" width="10.7109375" bestFit="1" customWidth="1"/>
    <col min="1686" max="1686" width="13.85546875" bestFit="1" customWidth="1"/>
    <col min="1687" max="1687" width="10.7109375" bestFit="1" customWidth="1"/>
    <col min="1688" max="1688" width="13.85546875" bestFit="1" customWidth="1"/>
    <col min="1689" max="1689" width="10.7109375" bestFit="1" customWidth="1"/>
    <col min="1690" max="1690" width="13.85546875" bestFit="1" customWidth="1"/>
    <col min="1691" max="1691" width="10.7109375" bestFit="1" customWidth="1"/>
    <col min="1692" max="1692" width="13.85546875" bestFit="1" customWidth="1"/>
    <col min="1693" max="1693" width="10.7109375" bestFit="1" customWidth="1"/>
    <col min="1694" max="1694" width="13.85546875" bestFit="1" customWidth="1"/>
    <col min="1695" max="1695" width="10.7109375" bestFit="1" customWidth="1"/>
    <col min="1696" max="1696" width="13.85546875" bestFit="1" customWidth="1"/>
    <col min="1697" max="1697" width="10.7109375" bestFit="1" customWidth="1"/>
    <col min="1698" max="1698" width="13.85546875" bestFit="1" customWidth="1"/>
    <col min="1699" max="1699" width="10.7109375" bestFit="1" customWidth="1"/>
    <col min="1700" max="1700" width="13.85546875" bestFit="1" customWidth="1"/>
    <col min="1701" max="1701" width="10.7109375" bestFit="1" customWidth="1"/>
    <col min="1702" max="1702" width="13.85546875" bestFit="1" customWidth="1"/>
    <col min="1703" max="1703" width="10.7109375" bestFit="1" customWidth="1"/>
    <col min="1704" max="1704" width="13.85546875" bestFit="1" customWidth="1"/>
    <col min="1705" max="1705" width="10.7109375" bestFit="1" customWidth="1"/>
    <col min="1706" max="1706" width="13.85546875" bestFit="1" customWidth="1"/>
    <col min="1707" max="1707" width="10.7109375" bestFit="1" customWidth="1"/>
    <col min="1708" max="1708" width="13.85546875" bestFit="1" customWidth="1"/>
    <col min="1709" max="1709" width="10.7109375" bestFit="1" customWidth="1"/>
    <col min="1710" max="1710" width="13.85546875" bestFit="1" customWidth="1"/>
    <col min="1711" max="1711" width="10.7109375" bestFit="1" customWidth="1"/>
    <col min="1712" max="1712" width="13.85546875" bestFit="1" customWidth="1"/>
    <col min="1713" max="1713" width="10.7109375" bestFit="1" customWidth="1"/>
    <col min="1714" max="1714" width="13.85546875" bestFit="1" customWidth="1"/>
    <col min="1715" max="1715" width="10.7109375" bestFit="1" customWidth="1"/>
    <col min="1716" max="1716" width="13.85546875" bestFit="1" customWidth="1"/>
    <col min="1717" max="1717" width="10.7109375" bestFit="1" customWidth="1"/>
    <col min="1718" max="1718" width="13.85546875" bestFit="1" customWidth="1"/>
    <col min="1719" max="1719" width="10.7109375" bestFit="1" customWidth="1"/>
    <col min="1720" max="1720" width="13.85546875" bestFit="1" customWidth="1"/>
    <col min="1721" max="1721" width="10.7109375" bestFit="1" customWidth="1"/>
    <col min="1722" max="1722" width="13.85546875" bestFit="1" customWidth="1"/>
    <col min="1723" max="1723" width="10.7109375" bestFit="1" customWidth="1"/>
    <col min="1724" max="1724" width="13.85546875" bestFit="1" customWidth="1"/>
    <col min="1725" max="1725" width="10.7109375" bestFit="1" customWidth="1"/>
    <col min="1726" max="1726" width="13.85546875" bestFit="1" customWidth="1"/>
    <col min="1727" max="1727" width="10.7109375" bestFit="1" customWidth="1"/>
    <col min="1728" max="1728" width="13.85546875" bestFit="1" customWidth="1"/>
    <col min="1729" max="1729" width="10.7109375" bestFit="1" customWidth="1"/>
    <col min="1730" max="1730" width="13.85546875" bestFit="1" customWidth="1"/>
    <col min="1731" max="1731" width="10.7109375" bestFit="1" customWidth="1"/>
    <col min="1732" max="1732" width="13.85546875" bestFit="1" customWidth="1"/>
    <col min="1733" max="1733" width="10.7109375" bestFit="1" customWidth="1"/>
    <col min="1734" max="1734" width="13.85546875" bestFit="1" customWidth="1"/>
    <col min="1735" max="1735" width="10.7109375" bestFit="1" customWidth="1"/>
    <col min="1736" max="1736" width="13.85546875" bestFit="1" customWidth="1"/>
    <col min="1737" max="1737" width="10.7109375" bestFit="1" customWidth="1"/>
    <col min="1738" max="1738" width="13.85546875" bestFit="1" customWidth="1"/>
    <col min="1739" max="1739" width="10.7109375" bestFit="1" customWidth="1"/>
    <col min="1740" max="1740" width="13.85546875" bestFit="1" customWidth="1"/>
    <col min="1741" max="1741" width="10.7109375" bestFit="1" customWidth="1"/>
    <col min="1742" max="1742" width="13.85546875" bestFit="1" customWidth="1"/>
    <col min="1743" max="1743" width="10.7109375" bestFit="1" customWidth="1"/>
    <col min="1744" max="1744" width="13.85546875" bestFit="1" customWidth="1"/>
    <col min="1745" max="1745" width="10.7109375" bestFit="1" customWidth="1"/>
    <col min="1746" max="1746" width="13.85546875" bestFit="1" customWidth="1"/>
    <col min="1747" max="1747" width="10.7109375" bestFit="1" customWidth="1"/>
    <col min="1748" max="1748" width="13.85546875" bestFit="1" customWidth="1"/>
    <col min="1749" max="1749" width="10.7109375" bestFit="1" customWidth="1"/>
    <col min="1750" max="1750" width="13.85546875" bestFit="1" customWidth="1"/>
    <col min="1751" max="1751" width="10.7109375" bestFit="1" customWidth="1"/>
    <col min="1752" max="1752" width="13.85546875" bestFit="1" customWidth="1"/>
    <col min="1753" max="1753" width="10.7109375" bestFit="1" customWidth="1"/>
    <col min="1754" max="1754" width="13.85546875" bestFit="1" customWidth="1"/>
    <col min="1755" max="1755" width="10.7109375" bestFit="1" customWidth="1"/>
    <col min="1756" max="1756" width="13.85546875" bestFit="1" customWidth="1"/>
    <col min="1757" max="1757" width="10.7109375" bestFit="1" customWidth="1"/>
    <col min="1758" max="1758" width="13.85546875" bestFit="1" customWidth="1"/>
    <col min="1759" max="1759" width="10.7109375" bestFit="1" customWidth="1"/>
    <col min="1760" max="1760" width="13.85546875" bestFit="1" customWidth="1"/>
    <col min="1761" max="1761" width="10.7109375" bestFit="1" customWidth="1"/>
    <col min="1762" max="1762" width="13.85546875" bestFit="1" customWidth="1"/>
    <col min="1763" max="1763" width="10.7109375" bestFit="1" customWidth="1"/>
    <col min="1764" max="1764" width="13.85546875" bestFit="1" customWidth="1"/>
    <col min="1765" max="1765" width="10.7109375" bestFit="1" customWidth="1"/>
    <col min="1766" max="1766" width="13.85546875" bestFit="1" customWidth="1"/>
    <col min="1767" max="1767" width="10.7109375" bestFit="1" customWidth="1"/>
    <col min="1768" max="1768" width="13.85546875" bestFit="1" customWidth="1"/>
    <col min="1769" max="1769" width="10.7109375" bestFit="1" customWidth="1"/>
    <col min="1770" max="1770" width="13.85546875" bestFit="1" customWidth="1"/>
    <col min="1771" max="1771" width="10.7109375" bestFit="1" customWidth="1"/>
    <col min="1772" max="1772" width="13.85546875" bestFit="1" customWidth="1"/>
    <col min="1773" max="1773" width="10.7109375" bestFit="1" customWidth="1"/>
    <col min="1774" max="1774" width="13.85546875" bestFit="1" customWidth="1"/>
    <col min="1775" max="1775" width="10.7109375" bestFit="1" customWidth="1"/>
    <col min="1776" max="1776" width="13.85546875" bestFit="1" customWidth="1"/>
    <col min="1777" max="1777" width="10.7109375" bestFit="1" customWidth="1"/>
    <col min="1778" max="1778" width="13.85546875" bestFit="1" customWidth="1"/>
    <col min="1779" max="1779" width="10.7109375" bestFit="1" customWidth="1"/>
    <col min="1780" max="1780" width="13.85546875" bestFit="1" customWidth="1"/>
    <col min="1781" max="1781" width="10.7109375" bestFit="1" customWidth="1"/>
    <col min="1782" max="1782" width="13.85546875" bestFit="1" customWidth="1"/>
    <col min="1783" max="1783" width="10.7109375" bestFit="1" customWidth="1"/>
    <col min="1784" max="1784" width="13.85546875" bestFit="1" customWidth="1"/>
    <col min="1785" max="1785" width="10.7109375" bestFit="1" customWidth="1"/>
    <col min="1786" max="1786" width="13.85546875" bestFit="1" customWidth="1"/>
    <col min="1787" max="1787" width="10.7109375" bestFit="1" customWidth="1"/>
    <col min="1788" max="1788" width="13.85546875" bestFit="1" customWidth="1"/>
    <col min="1789" max="1789" width="10.7109375" bestFit="1" customWidth="1"/>
    <col min="1790" max="1790" width="13.85546875" bestFit="1" customWidth="1"/>
    <col min="1791" max="1791" width="10.7109375" bestFit="1" customWidth="1"/>
    <col min="1792" max="1792" width="13.85546875" bestFit="1" customWidth="1"/>
    <col min="1793" max="1793" width="10.7109375" bestFit="1" customWidth="1"/>
    <col min="1794" max="1794" width="13.85546875" bestFit="1" customWidth="1"/>
    <col min="1795" max="1795" width="10.7109375" bestFit="1" customWidth="1"/>
    <col min="1796" max="1796" width="13.85546875" bestFit="1" customWidth="1"/>
    <col min="1797" max="1797" width="10.7109375" bestFit="1" customWidth="1"/>
    <col min="1798" max="1798" width="13.85546875" bestFit="1" customWidth="1"/>
    <col min="1799" max="1799" width="10.7109375" bestFit="1" customWidth="1"/>
    <col min="1800" max="1800" width="13.85546875" bestFit="1" customWidth="1"/>
    <col min="1801" max="1801" width="10.7109375" bestFit="1" customWidth="1"/>
    <col min="1802" max="1802" width="13.85546875" bestFit="1" customWidth="1"/>
    <col min="1803" max="1803" width="10.7109375" bestFit="1" customWidth="1"/>
    <col min="1804" max="1804" width="13.85546875" bestFit="1" customWidth="1"/>
    <col min="1805" max="1805" width="10.7109375" bestFit="1" customWidth="1"/>
    <col min="1806" max="1806" width="13.85546875" bestFit="1" customWidth="1"/>
    <col min="1807" max="1807" width="10.7109375" bestFit="1" customWidth="1"/>
    <col min="1808" max="1808" width="13.85546875" bestFit="1" customWidth="1"/>
    <col min="1809" max="1809" width="10.7109375" bestFit="1" customWidth="1"/>
    <col min="1810" max="1810" width="13.85546875" bestFit="1" customWidth="1"/>
    <col min="1811" max="1811" width="10.7109375" bestFit="1" customWidth="1"/>
    <col min="1812" max="1812" width="13.85546875" bestFit="1" customWidth="1"/>
    <col min="1813" max="1813" width="10.7109375" bestFit="1" customWidth="1"/>
    <col min="1814" max="1814" width="13.85546875" bestFit="1" customWidth="1"/>
    <col min="1815" max="1815" width="10.7109375" bestFit="1" customWidth="1"/>
    <col min="1816" max="1816" width="13.85546875" bestFit="1" customWidth="1"/>
    <col min="1817" max="1817" width="10.7109375" bestFit="1" customWidth="1"/>
    <col min="1818" max="1818" width="13.85546875" bestFit="1" customWidth="1"/>
    <col min="1819" max="1819" width="10.7109375" bestFit="1" customWidth="1"/>
    <col min="1820" max="1820" width="13.85546875" bestFit="1" customWidth="1"/>
    <col min="1821" max="1821" width="10.7109375" bestFit="1" customWidth="1"/>
    <col min="1822" max="1822" width="13.85546875" bestFit="1" customWidth="1"/>
    <col min="1823" max="1823" width="10.7109375" bestFit="1" customWidth="1"/>
    <col min="1824" max="1824" width="13.85546875" bestFit="1" customWidth="1"/>
    <col min="1825" max="1825" width="10.7109375" bestFit="1" customWidth="1"/>
    <col min="1826" max="1826" width="13.85546875" bestFit="1" customWidth="1"/>
    <col min="1827" max="1827" width="10.7109375" bestFit="1" customWidth="1"/>
    <col min="1828" max="1828" width="13.85546875" bestFit="1" customWidth="1"/>
    <col min="1829" max="1829" width="10.7109375" bestFit="1" customWidth="1"/>
    <col min="1830" max="1830" width="13.85546875" bestFit="1" customWidth="1"/>
    <col min="1831" max="1831" width="10.7109375" bestFit="1" customWidth="1"/>
    <col min="1832" max="1832" width="13.85546875" bestFit="1" customWidth="1"/>
    <col min="1833" max="1833" width="10.7109375" bestFit="1" customWidth="1"/>
    <col min="1834" max="1834" width="13.85546875" bestFit="1" customWidth="1"/>
    <col min="1835" max="1835" width="10.7109375" bestFit="1" customWidth="1"/>
    <col min="1836" max="1836" width="13.85546875" bestFit="1" customWidth="1"/>
    <col min="1837" max="1837" width="10.7109375" bestFit="1" customWidth="1"/>
    <col min="1838" max="1838" width="13.85546875" bestFit="1" customWidth="1"/>
    <col min="1839" max="1839" width="10.7109375" bestFit="1" customWidth="1"/>
    <col min="1840" max="1840" width="13.85546875" bestFit="1" customWidth="1"/>
    <col min="1841" max="1841" width="10.7109375" bestFit="1" customWidth="1"/>
    <col min="1842" max="1842" width="13.85546875" bestFit="1" customWidth="1"/>
    <col min="1843" max="1843" width="10.7109375" bestFit="1" customWidth="1"/>
    <col min="1844" max="1844" width="13.85546875" bestFit="1" customWidth="1"/>
    <col min="1845" max="1845" width="10.7109375" bestFit="1" customWidth="1"/>
    <col min="1846" max="1846" width="13.85546875" bestFit="1" customWidth="1"/>
    <col min="1847" max="1847" width="10.7109375" bestFit="1" customWidth="1"/>
    <col min="1848" max="1848" width="13.85546875" bestFit="1" customWidth="1"/>
    <col min="1849" max="1849" width="10.7109375" bestFit="1" customWidth="1"/>
    <col min="1850" max="1850" width="13.85546875" bestFit="1" customWidth="1"/>
    <col min="1851" max="1851" width="10.7109375" bestFit="1" customWidth="1"/>
    <col min="1852" max="1852" width="13.85546875" bestFit="1" customWidth="1"/>
    <col min="1853" max="1853" width="10.7109375" bestFit="1" customWidth="1"/>
    <col min="1854" max="1854" width="13.85546875" bestFit="1" customWidth="1"/>
    <col min="1855" max="1855" width="10.7109375" bestFit="1" customWidth="1"/>
    <col min="1856" max="1856" width="13.85546875" bestFit="1" customWidth="1"/>
    <col min="1857" max="1857" width="10.7109375" bestFit="1" customWidth="1"/>
    <col min="1858" max="1858" width="13.85546875" bestFit="1" customWidth="1"/>
    <col min="1859" max="1859" width="10.7109375" bestFit="1" customWidth="1"/>
    <col min="1860" max="1860" width="13.85546875" bestFit="1" customWidth="1"/>
    <col min="1861" max="1861" width="10.7109375" bestFit="1" customWidth="1"/>
    <col min="1862" max="1862" width="13.85546875" bestFit="1" customWidth="1"/>
    <col min="1863" max="1863" width="10.7109375" bestFit="1" customWidth="1"/>
    <col min="1864" max="1864" width="13.85546875" bestFit="1" customWidth="1"/>
    <col min="1865" max="1865" width="10.7109375" bestFit="1" customWidth="1"/>
    <col min="1866" max="1866" width="13.85546875" bestFit="1" customWidth="1"/>
    <col min="1867" max="1867" width="10.7109375" bestFit="1" customWidth="1"/>
    <col min="1868" max="1868" width="13.85546875" bestFit="1" customWidth="1"/>
    <col min="1869" max="1869" width="10.7109375" bestFit="1" customWidth="1"/>
    <col min="1870" max="1870" width="13.85546875" bestFit="1" customWidth="1"/>
    <col min="1871" max="1871" width="10.7109375" bestFit="1" customWidth="1"/>
    <col min="1872" max="1872" width="13.85546875" bestFit="1" customWidth="1"/>
    <col min="1873" max="1873" width="10.7109375" bestFit="1" customWidth="1"/>
    <col min="1874" max="1874" width="13.85546875" bestFit="1" customWidth="1"/>
    <col min="1875" max="1875" width="10.7109375" bestFit="1" customWidth="1"/>
    <col min="1876" max="1876" width="13.85546875" bestFit="1" customWidth="1"/>
    <col min="1877" max="1877" width="10.7109375" bestFit="1" customWidth="1"/>
    <col min="1878" max="1878" width="13.85546875" bestFit="1" customWidth="1"/>
    <col min="1879" max="1879" width="10.7109375" bestFit="1" customWidth="1"/>
    <col min="1880" max="1880" width="13.85546875" bestFit="1" customWidth="1"/>
    <col min="1881" max="1881" width="10.7109375" bestFit="1" customWidth="1"/>
    <col min="1882" max="1882" width="13.85546875" bestFit="1" customWidth="1"/>
    <col min="1883" max="1883" width="10.7109375" bestFit="1" customWidth="1"/>
    <col min="1884" max="1884" width="13.85546875" bestFit="1" customWidth="1"/>
    <col min="1885" max="1885" width="10.7109375" bestFit="1" customWidth="1"/>
    <col min="1886" max="1886" width="13.85546875" bestFit="1" customWidth="1"/>
    <col min="1887" max="1887" width="10.7109375" bestFit="1" customWidth="1"/>
    <col min="1888" max="1888" width="13.85546875" bestFit="1" customWidth="1"/>
    <col min="1889" max="1889" width="10.7109375" bestFit="1" customWidth="1"/>
    <col min="1890" max="1890" width="13.85546875" bestFit="1" customWidth="1"/>
    <col min="1891" max="1891" width="10.7109375" bestFit="1" customWidth="1"/>
    <col min="1892" max="1892" width="13.85546875" bestFit="1" customWidth="1"/>
    <col min="1893" max="1893" width="10.7109375" bestFit="1" customWidth="1"/>
    <col min="1894" max="1894" width="13.85546875" bestFit="1" customWidth="1"/>
    <col min="1895" max="1895" width="10.7109375" bestFit="1" customWidth="1"/>
    <col min="1896" max="1896" width="13.85546875" bestFit="1" customWidth="1"/>
    <col min="1897" max="1897" width="10.7109375" bestFit="1" customWidth="1"/>
    <col min="1898" max="1898" width="13.85546875" bestFit="1" customWidth="1"/>
    <col min="1899" max="1899" width="10.7109375" bestFit="1" customWidth="1"/>
    <col min="1900" max="1900" width="13.85546875" bestFit="1" customWidth="1"/>
    <col min="1901" max="1901" width="10.7109375" bestFit="1" customWidth="1"/>
    <col min="1902" max="1902" width="13.85546875" bestFit="1" customWidth="1"/>
    <col min="1903" max="1903" width="10.7109375" bestFit="1" customWidth="1"/>
    <col min="1904" max="1904" width="13.85546875" bestFit="1" customWidth="1"/>
    <col min="1905" max="1905" width="10.7109375" bestFit="1" customWidth="1"/>
    <col min="1906" max="1906" width="13.85546875" bestFit="1" customWidth="1"/>
    <col min="1907" max="1907" width="10.7109375" bestFit="1" customWidth="1"/>
    <col min="1908" max="1908" width="13.85546875" bestFit="1" customWidth="1"/>
    <col min="1909" max="1909" width="10.7109375" bestFit="1" customWidth="1"/>
    <col min="1910" max="1910" width="13.85546875" bestFit="1" customWidth="1"/>
    <col min="1911" max="1911" width="10.7109375" bestFit="1" customWidth="1"/>
    <col min="1912" max="1912" width="13.85546875" bestFit="1" customWidth="1"/>
    <col min="1913" max="1913" width="10.7109375" bestFit="1" customWidth="1"/>
    <col min="1914" max="1914" width="13.85546875" bestFit="1" customWidth="1"/>
    <col min="1915" max="1915" width="10.7109375" bestFit="1" customWidth="1"/>
    <col min="1916" max="1916" width="13.85546875" bestFit="1" customWidth="1"/>
    <col min="1917" max="1917" width="10.7109375" bestFit="1" customWidth="1"/>
    <col min="1918" max="1918" width="13.85546875" bestFit="1" customWidth="1"/>
    <col min="1919" max="1919" width="10.7109375" bestFit="1" customWidth="1"/>
    <col min="1920" max="1920" width="13.85546875" bestFit="1" customWidth="1"/>
    <col min="1921" max="1921" width="10.7109375" bestFit="1" customWidth="1"/>
    <col min="1922" max="1922" width="13.85546875" bestFit="1" customWidth="1"/>
    <col min="1923" max="1923" width="10.7109375" bestFit="1" customWidth="1"/>
    <col min="1924" max="1924" width="13.85546875" bestFit="1" customWidth="1"/>
    <col min="1925" max="1925" width="10.7109375" bestFit="1" customWidth="1"/>
    <col min="1926" max="1926" width="13.85546875" bestFit="1" customWidth="1"/>
    <col min="1927" max="1927" width="10.7109375" bestFit="1" customWidth="1"/>
    <col min="1928" max="1928" width="13.85546875" bestFit="1" customWidth="1"/>
    <col min="1929" max="1929" width="10.7109375" bestFit="1" customWidth="1"/>
    <col min="1930" max="1930" width="13.85546875" bestFit="1" customWidth="1"/>
    <col min="1931" max="1931" width="10.7109375" bestFit="1" customWidth="1"/>
    <col min="1932" max="1932" width="13.85546875" bestFit="1" customWidth="1"/>
    <col min="1933" max="1933" width="10.7109375" bestFit="1" customWidth="1"/>
    <col min="1934" max="1934" width="13.85546875" bestFit="1" customWidth="1"/>
    <col min="1935" max="1935" width="10.7109375" bestFit="1" customWidth="1"/>
    <col min="1936" max="1936" width="13.85546875" bestFit="1" customWidth="1"/>
    <col min="1937" max="1937" width="10.7109375" bestFit="1" customWidth="1"/>
    <col min="1938" max="1938" width="13.85546875" bestFit="1" customWidth="1"/>
    <col min="1939" max="1939" width="10.7109375" bestFit="1" customWidth="1"/>
    <col min="1940" max="1940" width="13.85546875" bestFit="1" customWidth="1"/>
    <col min="1941" max="1941" width="10.7109375" bestFit="1" customWidth="1"/>
    <col min="1942" max="1942" width="13.85546875" bestFit="1" customWidth="1"/>
    <col min="1943" max="1943" width="10.7109375" bestFit="1" customWidth="1"/>
    <col min="1944" max="1944" width="13.85546875" bestFit="1" customWidth="1"/>
    <col min="1945" max="1945" width="10.7109375" bestFit="1" customWidth="1"/>
    <col min="1946" max="1946" width="13.85546875" bestFit="1" customWidth="1"/>
    <col min="1947" max="1947" width="10.7109375" bestFit="1" customWidth="1"/>
    <col min="1948" max="1948" width="13.85546875" bestFit="1" customWidth="1"/>
    <col min="1949" max="1949" width="10.7109375" bestFit="1" customWidth="1"/>
    <col min="1950" max="1950" width="13.85546875" bestFit="1" customWidth="1"/>
    <col min="1951" max="1951" width="10.7109375" bestFit="1" customWidth="1"/>
    <col min="1952" max="1952" width="13.85546875" bestFit="1" customWidth="1"/>
    <col min="1953" max="1953" width="10.7109375" bestFit="1" customWidth="1"/>
    <col min="1954" max="1954" width="13.85546875" bestFit="1" customWidth="1"/>
    <col min="1955" max="1955" width="10.7109375" bestFit="1" customWidth="1"/>
    <col min="1956" max="1956" width="13.85546875" bestFit="1" customWidth="1"/>
    <col min="1957" max="1957" width="10.7109375" bestFit="1" customWidth="1"/>
    <col min="1958" max="1958" width="13.85546875" bestFit="1" customWidth="1"/>
    <col min="1959" max="1959" width="10.7109375" bestFit="1" customWidth="1"/>
    <col min="1960" max="1960" width="13.85546875" bestFit="1" customWidth="1"/>
    <col min="1961" max="1961" width="10.7109375" bestFit="1" customWidth="1"/>
    <col min="1962" max="1962" width="13.85546875" bestFit="1" customWidth="1"/>
    <col min="1963" max="1963" width="10.7109375" bestFit="1" customWidth="1"/>
    <col min="1964" max="1964" width="13.85546875" bestFit="1" customWidth="1"/>
    <col min="1965" max="1965" width="10.7109375" bestFit="1" customWidth="1"/>
    <col min="1966" max="1966" width="13.85546875" bestFit="1" customWidth="1"/>
    <col min="1967" max="1967" width="10.7109375" bestFit="1" customWidth="1"/>
    <col min="1968" max="1968" width="13.85546875" bestFit="1" customWidth="1"/>
    <col min="1969" max="1969" width="10.7109375" bestFit="1" customWidth="1"/>
    <col min="1970" max="1970" width="13.85546875" bestFit="1" customWidth="1"/>
    <col min="1971" max="1971" width="10.7109375" bestFit="1" customWidth="1"/>
    <col min="1972" max="1972" width="13.85546875" bestFit="1" customWidth="1"/>
    <col min="1973" max="1973" width="10.7109375" bestFit="1" customWidth="1"/>
    <col min="1974" max="1974" width="13.85546875" bestFit="1" customWidth="1"/>
    <col min="1975" max="1975" width="10.7109375" bestFit="1" customWidth="1"/>
    <col min="1976" max="1976" width="13.85546875" bestFit="1" customWidth="1"/>
    <col min="1977" max="1977" width="10.7109375" bestFit="1" customWidth="1"/>
    <col min="1978" max="1978" width="13.85546875" bestFit="1" customWidth="1"/>
    <col min="1979" max="1979" width="10.7109375" bestFit="1" customWidth="1"/>
    <col min="1980" max="1980" width="13.85546875" bestFit="1" customWidth="1"/>
    <col min="1981" max="1981" width="10.7109375" bestFit="1" customWidth="1"/>
    <col min="1982" max="1982" width="13.85546875" bestFit="1" customWidth="1"/>
    <col min="1983" max="1983" width="10.7109375" bestFit="1" customWidth="1"/>
    <col min="1984" max="1984" width="13.85546875" bestFit="1" customWidth="1"/>
    <col min="1985" max="1985" width="10.7109375" bestFit="1" customWidth="1"/>
    <col min="1986" max="1986" width="13.85546875" bestFit="1" customWidth="1"/>
    <col min="1987" max="1987" width="10.7109375" bestFit="1" customWidth="1"/>
    <col min="1988" max="1988" width="13.85546875" bestFit="1" customWidth="1"/>
    <col min="1989" max="1989" width="10.7109375" bestFit="1" customWidth="1"/>
    <col min="1990" max="1990" width="13.85546875" bestFit="1" customWidth="1"/>
    <col min="1991" max="1991" width="10.7109375" bestFit="1" customWidth="1"/>
    <col min="1992" max="1992" width="13.85546875" bestFit="1" customWidth="1"/>
    <col min="1993" max="1993" width="10.7109375" bestFit="1" customWidth="1"/>
    <col min="1994" max="1994" width="13.85546875" bestFit="1" customWidth="1"/>
    <col min="1995" max="1995" width="10.7109375" bestFit="1" customWidth="1"/>
    <col min="1996" max="1996" width="13.85546875" bestFit="1" customWidth="1"/>
    <col min="1997" max="1997" width="10.7109375" bestFit="1" customWidth="1"/>
    <col min="1998" max="1998" width="13.85546875" bestFit="1" customWidth="1"/>
    <col min="1999" max="1999" width="10.7109375" bestFit="1" customWidth="1"/>
    <col min="2000" max="2000" width="13.85546875" bestFit="1" customWidth="1"/>
    <col min="2001" max="2001" width="10.7109375" bestFit="1" customWidth="1"/>
    <col min="2002" max="2002" width="13.85546875" bestFit="1" customWidth="1"/>
    <col min="2003" max="2003" width="10.7109375" bestFit="1" customWidth="1"/>
    <col min="2004" max="2004" width="13.85546875" bestFit="1" customWidth="1"/>
    <col min="2005" max="2005" width="10.7109375" bestFit="1" customWidth="1"/>
    <col min="2006" max="2006" width="13.85546875" bestFit="1" customWidth="1"/>
    <col min="2007" max="2007" width="10.7109375" bestFit="1" customWidth="1"/>
    <col min="2008" max="2008" width="13.85546875" bestFit="1" customWidth="1"/>
    <col min="2009" max="2009" width="10.7109375" bestFit="1" customWidth="1"/>
    <col min="2010" max="2010" width="13.85546875" bestFit="1" customWidth="1"/>
    <col min="2011" max="2011" width="10.7109375" bestFit="1" customWidth="1"/>
    <col min="2012" max="2012" width="13.85546875" bestFit="1" customWidth="1"/>
    <col min="2013" max="2013" width="10.7109375" bestFit="1" customWidth="1"/>
    <col min="2014" max="2014" width="13.85546875" bestFit="1" customWidth="1"/>
    <col min="2015" max="2015" width="10.7109375" bestFit="1" customWidth="1"/>
    <col min="2016" max="2016" width="13.85546875" bestFit="1" customWidth="1"/>
    <col min="2017" max="2017" width="10.7109375" bestFit="1" customWidth="1"/>
    <col min="2018" max="2018" width="13.85546875" bestFit="1" customWidth="1"/>
    <col min="2019" max="2019" width="10.7109375" bestFit="1" customWidth="1"/>
    <col min="2020" max="2020" width="13.85546875" bestFit="1" customWidth="1"/>
    <col min="2021" max="2021" width="10.7109375" bestFit="1" customWidth="1"/>
    <col min="2022" max="2022" width="13.85546875" bestFit="1" customWidth="1"/>
    <col min="2023" max="2023" width="10.7109375" bestFit="1" customWidth="1"/>
    <col min="2024" max="2024" width="13.85546875" bestFit="1" customWidth="1"/>
    <col min="2025" max="2025" width="10.140625" bestFit="1" customWidth="1"/>
    <col min="2026" max="2026" width="11.28515625" bestFit="1" customWidth="1"/>
  </cols>
  <sheetData>
    <row r="2" spans="1:24" x14ac:dyDescent="0.25">
      <c r="A2" s="3" t="s">
        <v>1014</v>
      </c>
      <c r="B2" t="s">
        <v>1016</v>
      </c>
      <c r="D2" s="3" t="s">
        <v>1014</v>
      </c>
      <c r="E2" t="s">
        <v>1019</v>
      </c>
      <c r="F2" t="s">
        <v>1021</v>
      </c>
      <c r="H2" s="3" t="s">
        <v>1014</v>
      </c>
      <c r="I2" t="s">
        <v>1020</v>
      </c>
      <c r="J2" t="s">
        <v>1022</v>
      </c>
      <c r="O2" s="3" t="s">
        <v>1036</v>
      </c>
      <c r="P2" s="3" t="s">
        <v>1037</v>
      </c>
      <c r="T2" s="3" t="s">
        <v>1014</v>
      </c>
      <c r="U2" t="s">
        <v>1021</v>
      </c>
      <c r="W2" s="3" t="s">
        <v>1014</v>
      </c>
      <c r="X2" t="s">
        <v>1048</v>
      </c>
    </row>
    <row r="3" spans="1:24" x14ac:dyDescent="0.25">
      <c r="A3" s="4" t="s">
        <v>13</v>
      </c>
      <c r="B3">
        <v>510</v>
      </c>
      <c r="D3" s="4" t="s">
        <v>11</v>
      </c>
      <c r="E3" s="11">
        <v>143515</v>
      </c>
      <c r="F3" s="8">
        <v>771</v>
      </c>
      <c r="H3" s="4" t="s">
        <v>9</v>
      </c>
      <c r="I3">
        <v>1</v>
      </c>
      <c r="J3" s="9">
        <f>COUNTA(_xlfn.UNIQUE(H3:H10000)) - 2</f>
        <v>1000</v>
      </c>
      <c r="L3" s="3" t="s">
        <v>1014</v>
      </c>
      <c r="M3" t="s">
        <v>1023</v>
      </c>
      <c r="O3" s="3" t="s">
        <v>1014</v>
      </c>
      <c r="P3" t="s">
        <v>13</v>
      </c>
      <c r="Q3" t="s">
        <v>10</v>
      </c>
      <c r="R3" t="s">
        <v>1015</v>
      </c>
      <c r="T3" s="12">
        <v>25</v>
      </c>
      <c r="U3" s="2">
        <v>522</v>
      </c>
      <c r="W3" s="13">
        <v>25</v>
      </c>
      <c r="X3">
        <v>51</v>
      </c>
    </row>
    <row r="4" spans="1:24" x14ac:dyDescent="0.25">
      <c r="A4" s="4" t="s">
        <v>10</v>
      </c>
      <c r="B4">
        <v>490</v>
      </c>
      <c r="D4" s="4" t="s">
        <v>14</v>
      </c>
      <c r="E4" s="11">
        <v>155580</v>
      </c>
      <c r="F4" s="8">
        <v>894</v>
      </c>
      <c r="H4" s="4" t="s">
        <v>12</v>
      </c>
      <c r="I4">
        <v>1</v>
      </c>
      <c r="L4" s="4" t="s">
        <v>1024</v>
      </c>
      <c r="M4">
        <v>78</v>
      </c>
      <c r="O4" s="7" t="s">
        <v>1038</v>
      </c>
      <c r="P4">
        <v>24</v>
      </c>
      <c r="Q4">
        <v>18</v>
      </c>
      <c r="R4">
        <v>42</v>
      </c>
      <c r="T4" s="12">
        <v>30</v>
      </c>
      <c r="U4" s="2">
        <v>445</v>
      </c>
      <c r="W4" s="13">
        <v>30</v>
      </c>
      <c r="X4">
        <v>51</v>
      </c>
    </row>
    <row r="5" spans="1:24" x14ac:dyDescent="0.25">
      <c r="A5" s="4" t="s">
        <v>1015</v>
      </c>
      <c r="B5">
        <v>1000</v>
      </c>
      <c r="D5" s="4" t="s">
        <v>16</v>
      </c>
      <c r="E5" s="11">
        <v>156905</v>
      </c>
      <c r="F5" s="8">
        <v>849</v>
      </c>
      <c r="H5" s="4" t="s">
        <v>15</v>
      </c>
      <c r="I5">
        <v>1</v>
      </c>
      <c r="L5" s="4" t="s">
        <v>1025</v>
      </c>
      <c r="M5">
        <v>85</v>
      </c>
      <c r="O5" s="7" t="s">
        <v>1039</v>
      </c>
      <c r="P5">
        <v>48</v>
      </c>
      <c r="Q5">
        <v>59</v>
      </c>
      <c r="R5">
        <v>107</v>
      </c>
      <c r="T5" s="12">
        <v>50</v>
      </c>
      <c r="U5" s="2">
        <v>534</v>
      </c>
      <c r="W5" s="13">
        <v>50</v>
      </c>
      <c r="X5">
        <v>115</v>
      </c>
    </row>
    <row r="6" spans="1:24" x14ac:dyDescent="0.25">
      <c r="D6" s="4" t="s">
        <v>1015</v>
      </c>
      <c r="E6" s="11">
        <v>456000</v>
      </c>
      <c r="F6" s="8">
        <v>2514</v>
      </c>
      <c r="H6" s="4" t="s">
        <v>17</v>
      </c>
      <c r="I6">
        <v>1</v>
      </c>
      <c r="L6" s="4" t="s">
        <v>1026</v>
      </c>
      <c r="M6">
        <v>73</v>
      </c>
      <c r="O6" s="7" t="s">
        <v>1040</v>
      </c>
      <c r="P6">
        <v>57</v>
      </c>
      <c r="Q6">
        <v>45</v>
      </c>
      <c r="R6">
        <v>102</v>
      </c>
      <c r="T6" s="12">
        <v>300</v>
      </c>
      <c r="U6" s="2">
        <v>518</v>
      </c>
      <c r="W6" s="13">
        <v>60</v>
      </c>
      <c r="X6">
        <v>45</v>
      </c>
    </row>
    <row r="7" spans="1:24" x14ac:dyDescent="0.25">
      <c r="H7" s="4" t="s">
        <v>18</v>
      </c>
      <c r="I7">
        <v>1</v>
      </c>
      <c r="L7" s="4" t="s">
        <v>1027</v>
      </c>
      <c r="M7">
        <v>86</v>
      </c>
      <c r="O7" s="7" t="s">
        <v>1041</v>
      </c>
      <c r="P7">
        <v>45</v>
      </c>
      <c r="Q7">
        <v>56</v>
      </c>
      <c r="R7">
        <v>101</v>
      </c>
      <c r="T7" s="12">
        <v>500</v>
      </c>
      <c r="U7" s="2">
        <v>495</v>
      </c>
      <c r="W7" s="13">
        <v>75</v>
      </c>
      <c r="X7">
        <v>43</v>
      </c>
    </row>
    <row r="8" spans="1:24" x14ac:dyDescent="0.25">
      <c r="A8" s="4"/>
      <c r="E8" s="10">
        <f>GETPIVOTDATA("Total Amount",$D$2)</f>
        <v>456000</v>
      </c>
      <c r="F8" s="9">
        <f>GETPIVOTDATA("Sum of Quantity",$D$2)</f>
        <v>2514</v>
      </c>
      <c r="H8" s="4" t="s">
        <v>19</v>
      </c>
      <c r="I8">
        <v>1</v>
      </c>
      <c r="L8" s="4" t="s">
        <v>1028</v>
      </c>
      <c r="M8">
        <v>105</v>
      </c>
      <c r="O8" s="7" t="s">
        <v>1042</v>
      </c>
      <c r="P8">
        <v>48</v>
      </c>
      <c r="Q8">
        <v>42</v>
      </c>
      <c r="R8">
        <v>90</v>
      </c>
      <c r="T8" s="12" t="s">
        <v>1015</v>
      </c>
      <c r="U8" s="2">
        <v>2514</v>
      </c>
      <c r="W8" s="13">
        <v>90</v>
      </c>
      <c r="X8">
        <v>44</v>
      </c>
    </row>
    <row r="9" spans="1:24" x14ac:dyDescent="0.25">
      <c r="H9" s="4" t="s">
        <v>20</v>
      </c>
      <c r="I9">
        <v>1</v>
      </c>
      <c r="L9" s="4" t="s">
        <v>1029</v>
      </c>
      <c r="M9">
        <v>77</v>
      </c>
      <c r="O9" s="7" t="s">
        <v>1043</v>
      </c>
      <c r="P9">
        <v>64</v>
      </c>
      <c r="Q9">
        <v>53</v>
      </c>
      <c r="R9">
        <v>117</v>
      </c>
      <c r="W9" s="13">
        <v>100</v>
      </c>
      <c r="X9">
        <v>108</v>
      </c>
    </row>
    <row r="10" spans="1:24" x14ac:dyDescent="0.25">
      <c r="H10" s="4" t="s">
        <v>21</v>
      </c>
      <c r="I10">
        <v>1</v>
      </c>
      <c r="L10" s="4" t="s">
        <v>1030</v>
      </c>
      <c r="M10">
        <v>72</v>
      </c>
      <c r="O10" s="7" t="s">
        <v>1044</v>
      </c>
      <c r="P10">
        <v>57</v>
      </c>
      <c r="Q10">
        <v>48</v>
      </c>
      <c r="R10">
        <v>105</v>
      </c>
      <c r="W10" s="13">
        <v>120</v>
      </c>
      <c r="X10">
        <v>43</v>
      </c>
    </row>
    <row r="11" spans="1:24" x14ac:dyDescent="0.25">
      <c r="H11" s="4" t="s">
        <v>22</v>
      </c>
      <c r="I11">
        <v>1</v>
      </c>
      <c r="L11" s="4" t="s">
        <v>1031</v>
      </c>
      <c r="M11">
        <v>94</v>
      </c>
      <c r="O11" s="7" t="s">
        <v>1045</v>
      </c>
      <c r="P11">
        <v>58</v>
      </c>
      <c r="Q11">
        <v>62</v>
      </c>
      <c r="R11">
        <v>120</v>
      </c>
      <c r="W11" s="13">
        <v>150</v>
      </c>
      <c r="X11">
        <v>42</v>
      </c>
    </row>
    <row r="12" spans="1:24" x14ac:dyDescent="0.25">
      <c r="H12" s="4" t="s">
        <v>23</v>
      </c>
      <c r="I12">
        <v>1</v>
      </c>
      <c r="L12" s="4" t="s">
        <v>1032</v>
      </c>
      <c r="M12">
        <v>65</v>
      </c>
      <c r="O12" s="7" t="s">
        <v>1046</v>
      </c>
      <c r="P12">
        <v>54</v>
      </c>
      <c r="Q12">
        <v>47</v>
      </c>
      <c r="R12">
        <v>101</v>
      </c>
      <c r="W12" s="13">
        <v>200</v>
      </c>
      <c r="X12">
        <v>62</v>
      </c>
    </row>
    <row r="13" spans="1:24" x14ac:dyDescent="0.25">
      <c r="H13" s="4" t="s">
        <v>24</v>
      </c>
      <c r="I13">
        <v>1</v>
      </c>
      <c r="L13" s="4" t="s">
        <v>1033</v>
      </c>
      <c r="M13">
        <v>96</v>
      </c>
      <c r="O13" s="7" t="s">
        <v>1047</v>
      </c>
      <c r="P13">
        <v>55</v>
      </c>
      <c r="Q13">
        <v>60</v>
      </c>
      <c r="R13">
        <v>115</v>
      </c>
      <c r="W13" s="13">
        <v>300</v>
      </c>
      <c r="X13">
        <v>46</v>
      </c>
    </row>
    <row r="14" spans="1:24" x14ac:dyDescent="0.25">
      <c r="H14" s="4" t="s">
        <v>25</v>
      </c>
      <c r="I14">
        <v>1</v>
      </c>
      <c r="L14" s="4" t="s">
        <v>1034</v>
      </c>
      <c r="M14">
        <v>78</v>
      </c>
      <c r="O14" s="7" t="s">
        <v>1015</v>
      </c>
      <c r="P14">
        <v>510</v>
      </c>
      <c r="Q14">
        <v>490</v>
      </c>
      <c r="R14">
        <v>1000</v>
      </c>
      <c r="W14" s="13">
        <v>500</v>
      </c>
      <c r="X14">
        <v>51</v>
      </c>
    </row>
    <row r="15" spans="1:24" x14ac:dyDescent="0.25">
      <c r="H15" s="4" t="s">
        <v>26</v>
      </c>
      <c r="I15">
        <v>1</v>
      </c>
      <c r="L15" s="4" t="s">
        <v>1035</v>
      </c>
      <c r="M15">
        <v>91</v>
      </c>
      <c r="W15" s="13">
        <v>600</v>
      </c>
      <c r="X15">
        <v>35</v>
      </c>
    </row>
    <row r="16" spans="1:24" x14ac:dyDescent="0.25">
      <c r="H16" s="4" t="s">
        <v>27</v>
      </c>
      <c r="I16">
        <v>1</v>
      </c>
      <c r="L16" s="4" t="s">
        <v>1015</v>
      </c>
      <c r="M16">
        <v>1000</v>
      </c>
      <c r="W16" s="13">
        <v>900</v>
      </c>
      <c r="X16">
        <v>62</v>
      </c>
    </row>
    <row r="17" spans="8:24" x14ac:dyDescent="0.25">
      <c r="H17" s="4" t="s">
        <v>28</v>
      </c>
      <c r="I17">
        <v>1</v>
      </c>
      <c r="W17" s="13">
        <v>1000</v>
      </c>
      <c r="X17">
        <v>49</v>
      </c>
    </row>
    <row r="18" spans="8:24" x14ac:dyDescent="0.25">
      <c r="H18" s="4" t="s">
        <v>29</v>
      </c>
      <c r="I18">
        <v>1</v>
      </c>
      <c r="W18" s="13">
        <v>1200</v>
      </c>
      <c r="X18">
        <v>54</v>
      </c>
    </row>
    <row r="19" spans="8:24" x14ac:dyDescent="0.25">
      <c r="H19" s="4" t="s">
        <v>30</v>
      </c>
      <c r="I19">
        <v>1</v>
      </c>
      <c r="W19" s="13">
        <v>1500</v>
      </c>
      <c r="X19">
        <v>50</v>
      </c>
    </row>
    <row r="20" spans="8:24" x14ac:dyDescent="0.25">
      <c r="H20" s="4" t="s">
        <v>31</v>
      </c>
      <c r="I20">
        <v>1</v>
      </c>
      <c r="W20" s="13">
        <v>2000</v>
      </c>
      <c r="X20">
        <v>49</v>
      </c>
    </row>
    <row r="21" spans="8:24" x14ac:dyDescent="0.25">
      <c r="H21" s="4" t="s">
        <v>32</v>
      </c>
      <c r="I21">
        <v>1</v>
      </c>
      <c r="W21" s="7" t="s">
        <v>1015</v>
      </c>
      <c r="X21">
        <v>1000</v>
      </c>
    </row>
    <row r="22" spans="8:24" x14ac:dyDescent="0.25">
      <c r="H22" s="4" t="s">
        <v>33</v>
      </c>
      <c r="I22">
        <v>1</v>
      </c>
    </row>
    <row r="23" spans="8:24" x14ac:dyDescent="0.25">
      <c r="H23" s="4" t="s">
        <v>34</v>
      </c>
      <c r="I23">
        <v>1</v>
      </c>
    </row>
    <row r="24" spans="8:24" x14ac:dyDescent="0.25">
      <c r="H24" s="4" t="s">
        <v>35</v>
      </c>
      <c r="I24">
        <v>1</v>
      </c>
    </row>
    <row r="25" spans="8:24" x14ac:dyDescent="0.25">
      <c r="H25" s="4" t="s">
        <v>36</v>
      </c>
      <c r="I25">
        <v>1</v>
      </c>
    </row>
    <row r="26" spans="8:24" x14ac:dyDescent="0.25">
      <c r="H26" s="4" t="s">
        <v>37</v>
      </c>
      <c r="I26">
        <v>1</v>
      </c>
    </row>
    <row r="27" spans="8:24" x14ac:dyDescent="0.25">
      <c r="H27" s="4" t="s">
        <v>38</v>
      </c>
      <c r="I27">
        <v>1</v>
      </c>
    </row>
    <row r="28" spans="8:24" x14ac:dyDescent="0.25">
      <c r="H28" s="4" t="s">
        <v>39</v>
      </c>
      <c r="I28">
        <v>1</v>
      </c>
    </row>
    <row r="29" spans="8:24" x14ac:dyDescent="0.25">
      <c r="H29" s="4" t="s">
        <v>40</v>
      </c>
      <c r="I29">
        <v>1</v>
      </c>
    </row>
    <row r="30" spans="8:24" x14ac:dyDescent="0.25">
      <c r="H30" s="4" t="s">
        <v>41</v>
      </c>
      <c r="I30">
        <v>1</v>
      </c>
    </row>
    <row r="31" spans="8:24" x14ac:dyDescent="0.25">
      <c r="H31" s="4" t="s">
        <v>42</v>
      </c>
      <c r="I31">
        <v>1</v>
      </c>
    </row>
    <row r="32" spans="8:24" x14ac:dyDescent="0.25">
      <c r="H32" s="4" t="s">
        <v>43</v>
      </c>
      <c r="I32">
        <v>1</v>
      </c>
    </row>
    <row r="33" spans="8:9" x14ac:dyDescent="0.25">
      <c r="H33" s="4" t="s">
        <v>44</v>
      </c>
      <c r="I33">
        <v>1</v>
      </c>
    </row>
    <row r="34" spans="8:9" x14ac:dyDescent="0.25">
      <c r="H34" s="4" t="s">
        <v>45</v>
      </c>
      <c r="I34">
        <v>1</v>
      </c>
    </row>
    <row r="35" spans="8:9" x14ac:dyDescent="0.25">
      <c r="H35" s="4" t="s">
        <v>46</v>
      </c>
      <c r="I35">
        <v>1</v>
      </c>
    </row>
    <row r="36" spans="8:9" x14ac:dyDescent="0.25">
      <c r="H36" s="4" t="s">
        <v>47</v>
      </c>
      <c r="I36">
        <v>1</v>
      </c>
    </row>
    <row r="37" spans="8:9" x14ac:dyDescent="0.25">
      <c r="H37" s="4" t="s">
        <v>48</v>
      </c>
      <c r="I37">
        <v>1</v>
      </c>
    </row>
    <row r="38" spans="8:9" x14ac:dyDescent="0.25">
      <c r="H38" s="4" t="s">
        <v>49</v>
      </c>
      <c r="I38">
        <v>1</v>
      </c>
    </row>
    <row r="39" spans="8:9" x14ac:dyDescent="0.25">
      <c r="H39" s="4" t="s">
        <v>50</v>
      </c>
      <c r="I39">
        <v>1</v>
      </c>
    </row>
    <row r="40" spans="8:9" x14ac:dyDescent="0.25">
      <c r="H40" s="4" t="s">
        <v>51</v>
      </c>
      <c r="I40">
        <v>1</v>
      </c>
    </row>
    <row r="41" spans="8:9" x14ac:dyDescent="0.25">
      <c r="H41" s="4" t="s">
        <v>52</v>
      </c>
      <c r="I41">
        <v>1</v>
      </c>
    </row>
    <row r="42" spans="8:9" x14ac:dyDescent="0.25">
      <c r="H42" s="4" t="s">
        <v>53</v>
      </c>
      <c r="I42">
        <v>1</v>
      </c>
    </row>
    <row r="43" spans="8:9" x14ac:dyDescent="0.25">
      <c r="H43" s="4" t="s">
        <v>54</v>
      </c>
      <c r="I43">
        <v>1</v>
      </c>
    </row>
    <row r="44" spans="8:9" x14ac:dyDescent="0.25">
      <c r="H44" s="4" t="s">
        <v>55</v>
      </c>
      <c r="I44">
        <v>1</v>
      </c>
    </row>
    <row r="45" spans="8:9" x14ac:dyDescent="0.25">
      <c r="H45" s="4" t="s">
        <v>56</v>
      </c>
      <c r="I45">
        <v>1</v>
      </c>
    </row>
    <row r="46" spans="8:9" x14ac:dyDescent="0.25">
      <c r="H46" s="4" t="s">
        <v>57</v>
      </c>
      <c r="I46">
        <v>1</v>
      </c>
    </row>
    <row r="47" spans="8:9" x14ac:dyDescent="0.25">
      <c r="H47" s="4" t="s">
        <v>58</v>
      </c>
      <c r="I47">
        <v>1</v>
      </c>
    </row>
    <row r="48" spans="8:9" x14ac:dyDescent="0.25">
      <c r="H48" s="4" t="s">
        <v>59</v>
      </c>
      <c r="I48">
        <v>1</v>
      </c>
    </row>
    <row r="49" spans="8:9" x14ac:dyDescent="0.25">
      <c r="H49" s="4" t="s">
        <v>60</v>
      </c>
      <c r="I49">
        <v>1</v>
      </c>
    </row>
    <row r="50" spans="8:9" x14ac:dyDescent="0.25">
      <c r="H50" s="4" t="s">
        <v>61</v>
      </c>
      <c r="I50">
        <v>1</v>
      </c>
    </row>
    <row r="51" spans="8:9" x14ac:dyDescent="0.25">
      <c r="H51" s="4" t="s">
        <v>62</v>
      </c>
      <c r="I51">
        <v>1</v>
      </c>
    </row>
    <row r="52" spans="8:9" x14ac:dyDescent="0.25">
      <c r="H52" s="4" t="s">
        <v>63</v>
      </c>
      <c r="I52">
        <v>1</v>
      </c>
    </row>
    <row r="53" spans="8:9" x14ac:dyDescent="0.25">
      <c r="H53" s="4" t="s">
        <v>64</v>
      </c>
      <c r="I53">
        <v>1</v>
      </c>
    </row>
    <row r="54" spans="8:9" x14ac:dyDescent="0.25">
      <c r="H54" s="4" t="s">
        <v>65</v>
      </c>
      <c r="I54">
        <v>1</v>
      </c>
    </row>
    <row r="55" spans="8:9" x14ac:dyDescent="0.25">
      <c r="H55" s="4" t="s">
        <v>66</v>
      </c>
      <c r="I55">
        <v>1</v>
      </c>
    </row>
    <row r="56" spans="8:9" x14ac:dyDescent="0.25">
      <c r="H56" s="4" t="s">
        <v>67</v>
      </c>
      <c r="I56">
        <v>1</v>
      </c>
    </row>
    <row r="57" spans="8:9" x14ac:dyDescent="0.25">
      <c r="H57" s="4" t="s">
        <v>68</v>
      </c>
      <c r="I57">
        <v>1</v>
      </c>
    </row>
    <row r="58" spans="8:9" x14ac:dyDescent="0.25">
      <c r="H58" s="4" t="s">
        <v>69</v>
      </c>
      <c r="I58">
        <v>1</v>
      </c>
    </row>
    <row r="59" spans="8:9" x14ac:dyDescent="0.25">
      <c r="H59" s="4" t="s">
        <v>70</v>
      </c>
      <c r="I59">
        <v>1</v>
      </c>
    </row>
    <row r="60" spans="8:9" x14ac:dyDescent="0.25">
      <c r="H60" s="4" t="s">
        <v>71</v>
      </c>
      <c r="I60">
        <v>1</v>
      </c>
    </row>
    <row r="61" spans="8:9" x14ac:dyDescent="0.25">
      <c r="H61" s="4" t="s">
        <v>72</v>
      </c>
      <c r="I61">
        <v>1</v>
      </c>
    </row>
    <row r="62" spans="8:9" x14ac:dyDescent="0.25">
      <c r="H62" s="4" t="s">
        <v>73</v>
      </c>
      <c r="I62">
        <v>1</v>
      </c>
    </row>
    <row r="63" spans="8:9" x14ac:dyDescent="0.25">
      <c r="H63" s="4" t="s">
        <v>74</v>
      </c>
      <c r="I63">
        <v>1</v>
      </c>
    </row>
    <row r="64" spans="8:9" x14ac:dyDescent="0.25">
      <c r="H64" s="4" t="s">
        <v>75</v>
      </c>
      <c r="I64">
        <v>1</v>
      </c>
    </row>
    <row r="65" spans="8:9" x14ac:dyDescent="0.25">
      <c r="H65" s="4" t="s">
        <v>76</v>
      </c>
      <c r="I65">
        <v>1</v>
      </c>
    </row>
    <row r="66" spans="8:9" x14ac:dyDescent="0.25">
      <c r="H66" s="4" t="s">
        <v>77</v>
      </c>
      <c r="I66">
        <v>1</v>
      </c>
    </row>
    <row r="67" spans="8:9" x14ac:dyDescent="0.25">
      <c r="H67" s="4" t="s">
        <v>78</v>
      </c>
      <c r="I67">
        <v>1</v>
      </c>
    </row>
    <row r="68" spans="8:9" x14ac:dyDescent="0.25">
      <c r="H68" s="4" t="s">
        <v>79</v>
      </c>
      <c r="I68">
        <v>1</v>
      </c>
    </row>
    <row r="69" spans="8:9" x14ac:dyDescent="0.25">
      <c r="H69" s="4" t="s">
        <v>80</v>
      </c>
      <c r="I69">
        <v>1</v>
      </c>
    </row>
    <row r="70" spans="8:9" x14ac:dyDescent="0.25">
      <c r="H70" s="4" t="s">
        <v>81</v>
      </c>
      <c r="I70">
        <v>1</v>
      </c>
    </row>
    <row r="71" spans="8:9" x14ac:dyDescent="0.25">
      <c r="H71" s="4" t="s">
        <v>82</v>
      </c>
      <c r="I71">
        <v>1</v>
      </c>
    </row>
    <row r="72" spans="8:9" x14ac:dyDescent="0.25">
      <c r="H72" s="4" t="s">
        <v>83</v>
      </c>
      <c r="I72">
        <v>1</v>
      </c>
    </row>
    <row r="73" spans="8:9" x14ac:dyDescent="0.25">
      <c r="H73" s="4" t="s">
        <v>84</v>
      </c>
      <c r="I73">
        <v>1</v>
      </c>
    </row>
    <row r="74" spans="8:9" x14ac:dyDescent="0.25">
      <c r="H74" s="4" t="s">
        <v>85</v>
      </c>
      <c r="I74">
        <v>1</v>
      </c>
    </row>
    <row r="75" spans="8:9" x14ac:dyDescent="0.25">
      <c r="H75" s="4" t="s">
        <v>86</v>
      </c>
      <c r="I75">
        <v>1</v>
      </c>
    </row>
    <row r="76" spans="8:9" x14ac:dyDescent="0.25">
      <c r="H76" s="4" t="s">
        <v>87</v>
      </c>
      <c r="I76">
        <v>1</v>
      </c>
    </row>
    <row r="77" spans="8:9" x14ac:dyDescent="0.25">
      <c r="H77" s="4" t="s">
        <v>88</v>
      </c>
      <c r="I77">
        <v>1</v>
      </c>
    </row>
    <row r="78" spans="8:9" x14ac:dyDescent="0.25">
      <c r="H78" s="4" t="s">
        <v>89</v>
      </c>
      <c r="I78">
        <v>1</v>
      </c>
    </row>
    <row r="79" spans="8:9" x14ac:dyDescent="0.25">
      <c r="H79" s="4" t="s">
        <v>90</v>
      </c>
      <c r="I79">
        <v>1</v>
      </c>
    </row>
    <row r="80" spans="8:9" x14ac:dyDescent="0.25">
      <c r="H80" s="4" t="s">
        <v>91</v>
      </c>
      <c r="I80">
        <v>1</v>
      </c>
    </row>
    <row r="81" spans="8:9" x14ac:dyDescent="0.25">
      <c r="H81" s="4" t="s">
        <v>92</v>
      </c>
      <c r="I81">
        <v>1</v>
      </c>
    </row>
    <row r="82" spans="8:9" x14ac:dyDescent="0.25">
      <c r="H82" s="4" t="s">
        <v>93</v>
      </c>
      <c r="I82">
        <v>1</v>
      </c>
    </row>
    <row r="83" spans="8:9" x14ac:dyDescent="0.25">
      <c r="H83" s="4" t="s">
        <v>94</v>
      </c>
      <c r="I83">
        <v>1</v>
      </c>
    </row>
    <row r="84" spans="8:9" x14ac:dyDescent="0.25">
      <c r="H84" s="4" t="s">
        <v>95</v>
      </c>
      <c r="I84">
        <v>1</v>
      </c>
    </row>
    <row r="85" spans="8:9" x14ac:dyDescent="0.25">
      <c r="H85" s="4" t="s">
        <v>96</v>
      </c>
      <c r="I85">
        <v>1</v>
      </c>
    </row>
    <row r="86" spans="8:9" x14ac:dyDescent="0.25">
      <c r="H86" s="4" t="s">
        <v>97</v>
      </c>
      <c r="I86">
        <v>1</v>
      </c>
    </row>
    <row r="87" spans="8:9" x14ac:dyDescent="0.25">
      <c r="H87" s="4" t="s">
        <v>98</v>
      </c>
      <c r="I87">
        <v>1</v>
      </c>
    </row>
    <row r="88" spans="8:9" x14ac:dyDescent="0.25">
      <c r="H88" s="4" t="s">
        <v>99</v>
      </c>
      <c r="I88">
        <v>1</v>
      </c>
    </row>
    <row r="89" spans="8:9" x14ac:dyDescent="0.25">
      <c r="H89" s="4" t="s">
        <v>100</v>
      </c>
      <c r="I89">
        <v>1</v>
      </c>
    </row>
    <row r="90" spans="8:9" x14ac:dyDescent="0.25">
      <c r="H90" s="4" t="s">
        <v>101</v>
      </c>
      <c r="I90">
        <v>1</v>
      </c>
    </row>
    <row r="91" spans="8:9" x14ac:dyDescent="0.25">
      <c r="H91" s="4" t="s">
        <v>102</v>
      </c>
      <c r="I91">
        <v>1</v>
      </c>
    </row>
    <row r="92" spans="8:9" x14ac:dyDescent="0.25">
      <c r="H92" s="4" t="s">
        <v>103</v>
      </c>
      <c r="I92">
        <v>1</v>
      </c>
    </row>
    <row r="93" spans="8:9" x14ac:dyDescent="0.25">
      <c r="H93" s="4" t="s">
        <v>104</v>
      </c>
      <c r="I93">
        <v>1</v>
      </c>
    </row>
    <row r="94" spans="8:9" x14ac:dyDescent="0.25">
      <c r="H94" s="4" t="s">
        <v>105</v>
      </c>
      <c r="I94">
        <v>1</v>
      </c>
    </row>
    <row r="95" spans="8:9" x14ac:dyDescent="0.25">
      <c r="H95" s="4" t="s">
        <v>106</v>
      </c>
      <c r="I95">
        <v>1</v>
      </c>
    </row>
    <row r="96" spans="8:9" x14ac:dyDescent="0.25">
      <c r="H96" s="4" t="s">
        <v>107</v>
      </c>
      <c r="I96">
        <v>1</v>
      </c>
    </row>
    <row r="97" spans="8:9" x14ac:dyDescent="0.25">
      <c r="H97" s="4" t="s">
        <v>108</v>
      </c>
      <c r="I97">
        <v>1</v>
      </c>
    </row>
    <row r="98" spans="8:9" x14ac:dyDescent="0.25">
      <c r="H98" s="4" t="s">
        <v>109</v>
      </c>
      <c r="I98">
        <v>1</v>
      </c>
    </row>
    <row r="99" spans="8:9" x14ac:dyDescent="0.25">
      <c r="H99" s="4" t="s">
        <v>110</v>
      </c>
      <c r="I99">
        <v>1</v>
      </c>
    </row>
    <row r="100" spans="8:9" x14ac:dyDescent="0.25">
      <c r="H100" s="4" t="s">
        <v>111</v>
      </c>
      <c r="I100">
        <v>1</v>
      </c>
    </row>
    <row r="101" spans="8:9" x14ac:dyDescent="0.25">
      <c r="H101" s="4" t="s">
        <v>112</v>
      </c>
      <c r="I101">
        <v>1</v>
      </c>
    </row>
    <row r="102" spans="8:9" x14ac:dyDescent="0.25">
      <c r="H102" s="4" t="s">
        <v>113</v>
      </c>
      <c r="I102">
        <v>1</v>
      </c>
    </row>
    <row r="103" spans="8:9" x14ac:dyDescent="0.25">
      <c r="H103" s="4" t="s">
        <v>1013</v>
      </c>
      <c r="I103">
        <v>1</v>
      </c>
    </row>
    <row r="104" spans="8:9" x14ac:dyDescent="0.25">
      <c r="H104" s="4" t="s">
        <v>114</v>
      </c>
      <c r="I104">
        <v>1</v>
      </c>
    </row>
    <row r="105" spans="8:9" x14ac:dyDescent="0.25">
      <c r="H105" s="4" t="s">
        <v>115</v>
      </c>
      <c r="I105">
        <v>1</v>
      </c>
    </row>
    <row r="106" spans="8:9" x14ac:dyDescent="0.25">
      <c r="H106" s="4" t="s">
        <v>116</v>
      </c>
      <c r="I106">
        <v>1</v>
      </c>
    </row>
    <row r="107" spans="8:9" x14ac:dyDescent="0.25">
      <c r="H107" s="4" t="s">
        <v>117</v>
      </c>
      <c r="I107">
        <v>1</v>
      </c>
    </row>
    <row r="108" spans="8:9" x14ac:dyDescent="0.25">
      <c r="H108" s="4" t="s">
        <v>118</v>
      </c>
      <c r="I108">
        <v>1</v>
      </c>
    </row>
    <row r="109" spans="8:9" x14ac:dyDescent="0.25">
      <c r="H109" s="4" t="s">
        <v>119</v>
      </c>
      <c r="I109">
        <v>1</v>
      </c>
    </row>
    <row r="110" spans="8:9" x14ac:dyDescent="0.25">
      <c r="H110" s="4" t="s">
        <v>120</v>
      </c>
      <c r="I110">
        <v>1</v>
      </c>
    </row>
    <row r="111" spans="8:9" x14ac:dyDescent="0.25">
      <c r="H111" s="4" t="s">
        <v>121</v>
      </c>
      <c r="I111">
        <v>1</v>
      </c>
    </row>
    <row r="112" spans="8:9" x14ac:dyDescent="0.25">
      <c r="H112" s="4" t="s">
        <v>122</v>
      </c>
      <c r="I112">
        <v>1</v>
      </c>
    </row>
    <row r="113" spans="8:9" x14ac:dyDescent="0.25">
      <c r="H113" s="4" t="s">
        <v>123</v>
      </c>
      <c r="I113">
        <v>1</v>
      </c>
    </row>
    <row r="114" spans="8:9" x14ac:dyDescent="0.25">
      <c r="H114" s="4" t="s">
        <v>124</v>
      </c>
      <c r="I114">
        <v>1</v>
      </c>
    </row>
    <row r="115" spans="8:9" x14ac:dyDescent="0.25">
      <c r="H115" s="4" t="s">
        <v>125</v>
      </c>
      <c r="I115">
        <v>1</v>
      </c>
    </row>
    <row r="116" spans="8:9" x14ac:dyDescent="0.25">
      <c r="H116" s="4" t="s">
        <v>126</v>
      </c>
      <c r="I116">
        <v>1</v>
      </c>
    </row>
    <row r="117" spans="8:9" x14ac:dyDescent="0.25">
      <c r="H117" s="4" t="s">
        <v>127</v>
      </c>
      <c r="I117">
        <v>1</v>
      </c>
    </row>
    <row r="118" spans="8:9" x14ac:dyDescent="0.25">
      <c r="H118" s="4" t="s">
        <v>128</v>
      </c>
      <c r="I118">
        <v>1</v>
      </c>
    </row>
    <row r="119" spans="8:9" x14ac:dyDescent="0.25">
      <c r="H119" s="4" t="s">
        <v>129</v>
      </c>
      <c r="I119">
        <v>1</v>
      </c>
    </row>
    <row r="120" spans="8:9" x14ac:dyDescent="0.25">
      <c r="H120" s="4" t="s">
        <v>130</v>
      </c>
      <c r="I120">
        <v>1</v>
      </c>
    </row>
    <row r="121" spans="8:9" x14ac:dyDescent="0.25">
      <c r="H121" s="4" t="s">
        <v>131</v>
      </c>
      <c r="I121">
        <v>1</v>
      </c>
    </row>
    <row r="122" spans="8:9" x14ac:dyDescent="0.25">
      <c r="H122" s="4" t="s">
        <v>132</v>
      </c>
      <c r="I122">
        <v>1</v>
      </c>
    </row>
    <row r="123" spans="8:9" x14ac:dyDescent="0.25">
      <c r="H123" s="4" t="s">
        <v>133</v>
      </c>
      <c r="I123">
        <v>1</v>
      </c>
    </row>
    <row r="124" spans="8:9" x14ac:dyDescent="0.25">
      <c r="H124" s="4" t="s">
        <v>134</v>
      </c>
      <c r="I124">
        <v>1</v>
      </c>
    </row>
    <row r="125" spans="8:9" x14ac:dyDescent="0.25">
      <c r="H125" s="4" t="s">
        <v>135</v>
      </c>
      <c r="I125">
        <v>1</v>
      </c>
    </row>
    <row r="126" spans="8:9" x14ac:dyDescent="0.25">
      <c r="H126" s="4" t="s">
        <v>136</v>
      </c>
      <c r="I126">
        <v>1</v>
      </c>
    </row>
    <row r="127" spans="8:9" x14ac:dyDescent="0.25">
      <c r="H127" s="4" t="s">
        <v>137</v>
      </c>
      <c r="I127">
        <v>1</v>
      </c>
    </row>
    <row r="128" spans="8:9" x14ac:dyDescent="0.25">
      <c r="H128" s="4" t="s">
        <v>138</v>
      </c>
      <c r="I128">
        <v>1</v>
      </c>
    </row>
    <row r="129" spans="8:9" x14ac:dyDescent="0.25">
      <c r="H129" s="4" t="s">
        <v>139</v>
      </c>
      <c r="I129">
        <v>1</v>
      </c>
    </row>
    <row r="130" spans="8:9" x14ac:dyDescent="0.25">
      <c r="H130" s="4" t="s">
        <v>140</v>
      </c>
      <c r="I130">
        <v>1</v>
      </c>
    </row>
    <row r="131" spans="8:9" x14ac:dyDescent="0.25">
      <c r="H131" s="4" t="s">
        <v>141</v>
      </c>
      <c r="I131">
        <v>1</v>
      </c>
    </row>
    <row r="132" spans="8:9" x14ac:dyDescent="0.25">
      <c r="H132" s="4" t="s">
        <v>142</v>
      </c>
      <c r="I132">
        <v>1</v>
      </c>
    </row>
    <row r="133" spans="8:9" x14ac:dyDescent="0.25">
      <c r="H133" s="4" t="s">
        <v>143</v>
      </c>
      <c r="I133">
        <v>1</v>
      </c>
    </row>
    <row r="134" spans="8:9" x14ac:dyDescent="0.25">
      <c r="H134" s="4" t="s">
        <v>144</v>
      </c>
      <c r="I134">
        <v>1</v>
      </c>
    </row>
    <row r="135" spans="8:9" x14ac:dyDescent="0.25">
      <c r="H135" s="4" t="s">
        <v>145</v>
      </c>
      <c r="I135">
        <v>1</v>
      </c>
    </row>
    <row r="136" spans="8:9" x14ac:dyDescent="0.25">
      <c r="H136" s="4" t="s">
        <v>146</v>
      </c>
      <c r="I136">
        <v>1</v>
      </c>
    </row>
    <row r="137" spans="8:9" x14ac:dyDescent="0.25">
      <c r="H137" s="4" t="s">
        <v>147</v>
      </c>
      <c r="I137">
        <v>1</v>
      </c>
    </row>
    <row r="138" spans="8:9" x14ac:dyDescent="0.25">
      <c r="H138" s="4" t="s">
        <v>148</v>
      </c>
      <c r="I138">
        <v>1</v>
      </c>
    </row>
    <row r="139" spans="8:9" x14ac:dyDescent="0.25">
      <c r="H139" s="4" t="s">
        <v>149</v>
      </c>
      <c r="I139">
        <v>1</v>
      </c>
    </row>
    <row r="140" spans="8:9" x14ac:dyDescent="0.25">
      <c r="H140" s="4" t="s">
        <v>150</v>
      </c>
      <c r="I140">
        <v>1</v>
      </c>
    </row>
    <row r="141" spans="8:9" x14ac:dyDescent="0.25">
      <c r="H141" s="4" t="s">
        <v>151</v>
      </c>
      <c r="I141">
        <v>1</v>
      </c>
    </row>
    <row r="142" spans="8:9" x14ac:dyDescent="0.25">
      <c r="H142" s="4" t="s">
        <v>152</v>
      </c>
      <c r="I142">
        <v>1</v>
      </c>
    </row>
    <row r="143" spans="8:9" x14ac:dyDescent="0.25">
      <c r="H143" s="4" t="s">
        <v>153</v>
      </c>
      <c r="I143">
        <v>1</v>
      </c>
    </row>
    <row r="144" spans="8:9" x14ac:dyDescent="0.25">
      <c r="H144" s="4" t="s">
        <v>154</v>
      </c>
      <c r="I144">
        <v>1</v>
      </c>
    </row>
    <row r="145" spans="8:9" x14ac:dyDescent="0.25">
      <c r="H145" s="4" t="s">
        <v>155</v>
      </c>
      <c r="I145">
        <v>1</v>
      </c>
    </row>
    <row r="146" spans="8:9" x14ac:dyDescent="0.25">
      <c r="H146" s="4" t="s">
        <v>156</v>
      </c>
      <c r="I146">
        <v>1</v>
      </c>
    </row>
    <row r="147" spans="8:9" x14ac:dyDescent="0.25">
      <c r="H147" s="4" t="s">
        <v>157</v>
      </c>
      <c r="I147">
        <v>1</v>
      </c>
    </row>
    <row r="148" spans="8:9" x14ac:dyDescent="0.25">
      <c r="H148" s="4" t="s">
        <v>158</v>
      </c>
      <c r="I148">
        <v>1</v>
      </c>
    </row>
    <row r="149" spans="8:9" x14ac:dyDescent="0.25">
      <c r="H149" s="4" t="s">
        <v>159</v>
      </c>
      <c r="I149">
        <v>1</v>
      </c>
    </row>
    <row r="150" spans="8:9" x14ac:dyDescent="0.25">
      <c r="H150" s="4" t="s">
        <v>160</v>
      </c>
      <c r="I150">
        <v>1</v>
      </c>
    </row>
    <row r="151" spans="8:9" x14ac:dyDescent="0.25">
      <c r="H151" s="4" t="s">
        <v>161</v>
      </c>
      <c r="I151">
        <v>1</v>
      </c>
    </row>
    <row r="152" spans="8:9" x14ac:dyDescent="0.25">
      <c r="H152" s="4" t="s">
        <v>162</v>
      </c>
      <c r="I152">
        <v>1</v>
      </c>
    </row>
    <row r="153" spans="8:9" x14ac:dyDescent="0.25">
      <c r="H153" s="4" t="s">
        <v>163</v>
      </c>
      <c r="I153">
        <v>1</v>
      </c>
    </row>
    <row r="154" spans="8:9" x14ac:dyDescent="0.25">
      <c r="H154" s="4" t="s">
        <v>164</v>
      </c>
      <c r="I154">
        <v>1</v>
      </c>
    </row>
    <row r="155" spans="8:9" x14ac:dyDescent="0.25">
      <c r="H155" s="4" t="s">
        <v>165</v>
      </c>
      <c r="I155">
        <v>1</v>
      </c>
    </row>
    <row r="156" spans="8:9" x14ac:dyDescent="0.25">
      <c r="H156" s="4" t="s">
        <v>166</v>
      </c>
      <c r="I156">
        <v>1</v>
      </c>
    </row>
    <row r="157" spans="8:9" x14ac:dyDescent="0.25">
      <c r="H157" s="4" t="s">
        <v>167</v>
      </c>
      <c r="I157">
        <v>1</v>
      </c>
    </row>
    <row r="158" spans="8:9" x14ac:dyDescent="0.25">
      <c r="H158" s="4" t="s">
        <v>168</v>
      </c>
      <c r="I158">
        <v>1</v>
      </c>
    </row>
    <row r="159" spans="8:9" x14ac:dyDescent="0.25">
      <c r="H159" s="4" t="s">
        <v>169</v>
      </c>
      <c r="I159">
        <v>1</v>
      </c>
    </row>
    <row r="160" spans="8:9" x14ac:dyDescent="0.25">
      <c r="H160" s="4" t="s">
        <v>170</v>
      </c>
      <c r="I160">
        <v>1</v>
      </c>
    </row>
    <row r="161" spans="8:9" x14ac:dyDescent="0.25">
      <c r="H161" s="4" t="s">
        <v>171</v>
      </c>
      <c r="I161">
        <v>1</v>
      </c>
    </row>
    <row r="162" spans="8:9" x14ac:dyDescent="0.25">
      <c r="H162" s="4" t="s">
        <v>172</v>
      </c>
      <c r="I162">
        <v>1</v>
      </c>
    </row>
    <row r="163" spans="8:9" x14ac:dyDescent="0.25">
      <c r="H163" s="4" t="s">
        <v>173</v>
      </c>
      <c r="I163">
        <v>1</v>
      </c>
    </row>
    <row r="164" spans="8:9" x14ac:dyDescent="0.25">
      <c r="H164" s="4" t="s">
        <v>174</v>
      </c>
      <c r="I164">
        <v>1</v>
      </c>
    </row>
    <row r="165" spans="8:9" x14ac:dyDescent="0.25">
      <c r="H165" s="4" t="s">
        <v>175</v>
      </c>
      <c r="I165">
        <v>1</v>
      </c>
    </row>
    <row r="166" spans="8:9" x14ac:dyDescent="0.25">
      <c r="H166" s="4" t="s">
        <v>176</v>
      </c>
      <c r="I166">
        <v>1</v>
      </c>
    </row>
    <row r="167" spans="8:9" x14ac:dyDescent="0.25">
      <c r="H167" s="4" t="s">
        <v>177</v>
      </c>
      <c r="I167">
        <v>1</v>
      </c>
    </row>
    <row r="168" spans="8:9" x14ac:dyDescent="0.25">
      <c r="H168" s="4" t="s">
        <v>178</v>
      </c>
      <c r="I168">
        <v>1</v>
      </c>
    </row>
    <row r="169" spans="8:9" x14ac:dyDescent="0.25">
      <c r="H169" s="4" t="s">
        <v>179</v>
      </c>
      <c r="I169">
        <v>1</v>
      </c>
    </row>
    <row r="170" spans="8:9" x14ac:dyDescent="0.25">
      <c r="H170" s="4" t="s">
        <v>180</v>
      </c>
      <c r="I170">
        <v>1</v>
      </c>
    </row>
    <row r="171" spans="8:9" x14ac:dyDescent="0.25">
      <c r="H171" s="4" t="s">
        <v>181</v>
      </c>
      <c r="I171">
        <v>1</v>
      </c>
    </row>
    <row r="172" spans="8:9" x14ac:dyDescent="0.25">
      <c r="H172" s="4" t="s">
        <v>182</v>
      </c>
      <c r="I172">
        <v>1</v>
      </c>
    </row>
    <row r="173" spans="8:9" x14ac:dyDescent="0.25">
      <c r="H173" s="4" t="s">
        <v>183</v>
      </c>
      <c r="I173">
        <v>1</v>
      </c>
    </row>
    <row r="174" spans="8:9" x14ac:dyDescent="0.25">
      <c r="H174" s="4" t="s">
        <v>184</v>
      </c>
      <c r="I174">
        <v>1</v>
      </c>
    </row>
    <row r="175" spans="8:9" x14ac:dyDescent="0.25">
      <c r="H175" s="4" t="s">
        <v>185</v>
      </c>
      <c r="I175">
        <v>1</v>
      </c>
    </row>
    <row r="176" spans="8:9" x14ac:dyDescent="0.25">
      <c r="H176" s="4" t="s">
        <v>186</v>
      </c>
      <c r="I176">
        <v>1</v>
      </c>
    </row>
    <row r="177" spans="8:9" x14ac:dyDescent="0.25">
      <c r="H177" s="4" t="s">
        <v>187</v>
      </c>
      <c r="I177">
        <v>1</v>
      </c>
    </row>
    <row r="178" spans="8:9" x14ac:dyDescent="0.25">
      <c r="H178" s="4" t="s">
        <v>188</v>
      </c>
      <c r="I178">
        <v>1</v>
      </c>
    </row>
    <row r="179" spans="8:9" x14ac:dyDescent="0.25">
      <c r="H179" s="4" t="s">
        <v>189</v>
      </c>
      <c r="I179">
        <v>1</v>
      </c>
    </row>
    <row r="180" spans="8:9" x14ac:dyDescent="0.25">
      <c r="H180" s="4" t="s">
        <v>190</v>
      </c>
      <c r="I180">
        <v>1</v>
      </c>
    </row>
    <row r="181" spans="8:9" x14ac:dyDescent="0.25">
      <c r="H181" s="4" t="s">
        <v>191</v>
      </c>
      <c r="I181">
        <v>1</v>
      </c>
    </row>
    <row r="182" spans="8:9" x14ac:dyDescent="0.25">
      <c r="H182" s="4" t="s">
        <v>192</v>
      </c>
      <c r="I182">
        <v>1</v>
      </c>
    </row>
    <row r="183" spans="8:9" x14ac:dyDescent="0.25">
      <c r="H183" s="4" t="s">
        <v>193</v>
      </c>
      <c r="I183">
        <v>1</v>
      </c>
    </row>
    <row r="184" spans="8:9" x14ac:dyDescent="0.25">
      <c r="H184" s="4" t="s">
        <v>194</v>
      </c>
      <c r="I184">
        <v>1</v>
      </c>
    </row>
    <row r="185" spans="8:9" x14ac:dyDescent="0.25">
      <c r="H185" s="4" t="s">
        <v>195</v>
      </c>
      <c r="I185">
        <v>1</v>
      </c>
    </row>
    <row r="186" spans="8:9" x14ac:dyDescent="0.25">
      <c r="H186" s="4" t="s">
        <v>196</v>
      </c>
      <c r="I186">
        <v>1</v>
      </c>
    </row>
    <row r="187" spans="8:9" x14ac:dyDescent="0.25">
      <c r="H187" s="4" t="s">
        <v>197</v>
      </c>
      <c r="I187">
        <v>1</v>
      </c>
    </row>
    <row r="188" spans="8:9" x14ac:dyDescent="0.25">
      <c r="H188" s="4" t="s">
        <v>198</v>
      </c>
      <c r="I188">
        <v>1</v>
      </c>
    </row>
    <row r="189" spans="8:9" x14ac:dyDescent="0.25">
      <c r="H189" s="4" t="s">
        <v>199</v>
      </c>
      <c r="I189">
        <v>1</v>
      </c>
    </row>
    <row r="190" spans="8:9" x14ac:dyDescent="0.25">
      <c r="H190" s="4" t="s">
        <v>200</v>
      </c>
      <c r="I190">
        <v>1</v>
      </c>
    </row>
    <row r="191" spans="8:9" x14ac:dyDescent="0.25">
      <c r="H191" s="4" t="s">
        <v>201</v>
      </c>
      <c r="I191">
        <v>1</v>
      </c>
    </row>
    <row r="192" spans="8:9" x14ac:dyDescent="0.25">
      <c r="H192" s="4" t="s">
        <v>202</v>
      </c>
      <c r="I192">
        <v>1</v>
      </c>
    </row>
    <row r="193" spans="8:9" x14ac:dyDescent="0.25">
      <c r="H193" s="4" t="s">
        <v>203</v>
      </c>
      <c r="I193">
        <v>1</v>
      </c>
    </row>
    <row r="194" spans="8:9" x14ac:dyDescent="0.25">
      <c r="H194" s="4" t="s">
        <v>204</v>
      </c>
      <c r="I194">
        <v>1</v>
      </c>
    </row>
    <row r="195" spans="8:9" x14ac:dyDescent="0.25">
      <c r="H195" s="4" t="s">
        <v>205</v>
      </c>
      <c r="I195">
        <v>1</v>
      </c>
    </row>
    <row r="196" spans="8:9" x14ac:dyDescent="0.25">
      <c r="H196" s="4" t="s">
        <v>206</v>
      </c>
      <c r="I196">
        <v>1</v>
      </c>
    </row>
    <row r="197" spans="8:9" x14ac:dyDescent="0.25">
      <c r="H197" s="4" t="s">
        <v>207</v>
      </c>
      <c r="I197">
        <v>1</v>
      </c>
    </row>
    <row r="198" spans="8:9" x14ac:dyDescent="0.25">
      <c r="H198" s="4" t="s">
        <v>208</v>
      </c>
      <c r="I198">
        <v>1</v>
      </c>
    </row>
    <row r="199" spans="8:9" x14ac:dyDescent="0.25">
      <c r="H199" s="4" t="s">
        <v>209</v>
      </c>
      <c r="I199">
        <v>1</v>
      </c>
    </row>
    <row r="200" spans="8:9" x14ac:dyDescent="0.25">
      <c r="H200" s="4" t="s">
        <v>210</v>
      </c>
      <c r="I200">
        <v>1</v>
      </c>
    </row>
    <row r="201" spans="8:9" x14ac:dyDescent="0.25">
      <c r="H201" s="4" t="s">
        <v>211</v>
      </c>
      <c r="I201">
        <v>1</v>
      </c>
    </row>
    <row r="202" spans="8:9" x14ac:dyDescent="0.25">
      <c r="H202" s="4" t="s">
        <v>212</v>
      </c>
      <c r="I202">
        <v>1</v>
      </c>
    </row>
    <row r="203" spans="8:9" x14ac:dyDescent="0.25">
      <c r="H203" s="4" t="s">
        <v>213</v>
      </c>
      <c r="I203">
        <v>1</v>
      </c>
    </row>
    <row r="204" spans="8:9" x14ac:dyDescent="0.25">
      <c r="H204" s="4" t="s">
        <v>214</v>
      </c>
      <c r="I204">
        <v>1</v>
      </c>
    </row>
    <row r="205" spans="8:9" x14ac:dyDescent="0.25">
      <c r="H205" s="4" t="s">
        <v>215</v>
      </c>
      <c r="I205">
        <v>1</v>
      </c>
    </row>
    <row r="206" spans="8:9" x14ac:dyDescent="0.25">
      <c r="H206" s="4" t="s">
        <v>216</v>
      </c>
      <c r="I206">
        <v>1</v>
      </c>
    </row>
    <row r="207" spans="8:9" x14ac:dyDescent="0.25">
      <c r="H207" s="4" t="s">
        <v>217</v>
      </c>
      <c r="I207">
        <v>1</v>
      </c>
    </row>
    <row r="208" spans="8:9" x14ac:dyDescent="0.25">
      <c r="H208" s="4" t="s">
        <v>218</v>
      </c>
      <c r="I208">
        <v>1</v>
      </c>
    </row>
    <row r="209" spans="8:9" x14ac:dyDescent="0.25">
      <c r="H209" s="4" t="s">
        <v>219</v>
      </c>
      <c r="I209">
        <v>1</v>
      </c>
    </row>
    <row r="210" spans="8:9" x14ac:dyDescent="0.25">
      <c r="H210" s="4" t="s">
        <v>220</v>
      </c>
      <c r="I210">
        <v>1</v>
      </c>
    </row>
    <row r="211" spans="8:9" x14ac:dyDescent="0.25">
      <c r="H211" s="4" t="s">
        <v>221</v>
      </c>
      <c r="I211">
        <v>1</v>
      </c>
    </row>
    <row r="212" spans="8:9" x14ac:dyDescent="0.25">
      <c r="H212" s="4" t="s">
        <v>222</v>
      </c>
      <c r="I212">
        <v>1</v>
      </c>
    </row>
    <row r="213" spans="8:9" x14ac:dyDescent="0.25">
      <c r="H213" s="4" t="s">
        <v>223</v>
      </c>
      <c r="I213">
        <v>1</v>
      </c>
    </row>
    <row r="214" spans="8:9" x14ac:dyDescent="0.25">
      <c r="H214" s="4" t="s">
        <v>224</v>
      </c>
      <c r="I214">
        <v>1</v>
      </c>
    </row>
    <row r="215" spans="8:9" x14ac:dyDescent="0.25">
      <c r="H215" s="4" t="s">
        <v>225</v>
      </c>
      <c r="I215">
        <v>1</v>
      </c>
    </row>
    <row r="216" spans="8:9" x14ac:dyDescent="0.25">
      <c r="H216" s="4" t="s">
        <v>226</v>
      </c>
      <c r="I216">
        <v>1</v>
      </c>
    </row>
    <row r="217" spans="8:9" x14ac:dyDescent="0.25">
      <c r="H217" s="4" t="s">
        <v>227</v>
      </c>
      <c r="I217">
        <v>1</v>
      </c>
    </row>
    <row r="218" spans="8:9" x14ac:dyDescent="0.25">
      <c r="H218" s="4" t="s">
        <v>228</v>
      </c>
      <c r="I218">
        <v>1</v>
      </c>
    </row>
    <row r="219" spans="8:9" x14ac:dyDescent="0.25">
      <c r="H219" s="4" t="s">
        <v>229</v>
      </c>
      <c r="I219">
        <v>1</v>
      </c>
    </row>
    <row r="220" spans="8:9" x14ac:dyDescent="0.25">
      <c r="H220" s="4" t="s">
        <v>230</v>
      </c>
      <c r="I220">
        <v>1</v>
      </c>
    </row>
    <row r="221" spans="8:9" x14ac:dyDescent="0.25">
      <c r="H221" s="4" t="s">
        <v>231</v>
      </c>
      <c r="I221">
        <v>1</v>
      </c>
    </row>
    <row r="222" spans="8:9" x14ac:dyDescent="0.25">
      <c r="H222" s="4" t="s">
        <v>232</v>
      </c>
      <c r="I222">
        <v>1</v>
      </c>
    </row>
    <row r="223" spans="8:9" x14ac:dyDescent="0.25">
      <c r="H223" s="4" t="s">
        <v>233</v>
      </c>
      <c r="I223">
        <v>1</v>
      </c>
    </row>
    <row r="224" spans="8:9" x14ac:dyDescent="0.25">
      <c r="H224" s="4" t="s">
        <v>234</v>
      </c>
      <c r="I224">
        <v>1</v>
      </c>
    </row>
    <row r="225" spans="8:9" x14ac:dyDescent="0.25">
      <c r="H225" s="4" t="s">
        <v>235</v>
      </c>
      <c r="I225">
        <v>1</v>
      </c>
    </row>
    <row r="226" spans="8:9" x14ac:dyDescent="0.25">
      <c r="H226" s="4" t="s">
        <v>236</v>
      </c>
      <c r="I226">
        <v>1</v>
      </c>
    </row>
    <row r="227" spans="8:9" x14ac:dyDescent="0.25">
      <c r="H227" s="4" t="s">
        <v>237</v>
      </c>
      <c r="I227">
        <v>1</v>
      </c>
    </row>
    <row r="228" spans="8:9" x14ac:dyDescent="0.25">
      <c r="H228" s="4" t="s">
        <v>238</v>
      </c>
      <c r="I228">
        <v>1</v>
      </c>
    </row>
    <row r="229" spans="8:9" x14ac:dyDescent="0.25">
      <c r="H229" s="4" t="s">
        <v>239</v>
      </c>
      <c r="I229">
        <v>1</v>
      </c>
    </row>
    <row r="230" spans="8:9" x14ac:dyDescent="0.25">
      <c r="H230" s="4" t="s">
        <v>240</v>
      </c>
      <c r="I230">
        <v>1</v>
      </c>
    </row>
    <row r="231" spans="8:9" x14ac:dyDescent="0.25">
      <c r="H231" s="4" t="s">
        <v>241</v>
      </c>
      <c r="I231">
        <v>1</v>
      </c>
    </row>
    <row r="232" spans="8:9" x14ac:dyDescent="0.25">
      <c r="H232" s="4" t="s">
        <v>242</v>
      </c>
      <c r="I232">
        <v>1</v>
      </c>
    </row>
    <row r="233" spans="8:9" x14ac:dyDescent="0.25">
      <c r="H233" s="4" t="s">
        <v>243</v>
      </c>
      <c r="I233">
        <v>1</v>
      </c>
    </row>
    <row r="234" spans="8:9" x14ac:dyDescent="0.25">
      <c r="H234" s="4" t="s">
        <v>244</v>
      </c>
      <c r="I234">
        <v>1</v>
      </c>
    </row>
    <row r="235" spans="8:9" x14ac:dyDescent="0.25">
      <c r="H235" s="4" t="s">
        <v>245</v>
      </c>
      <c r="I235">
        <v>1</v>
      </c>
    </row>
    <row r="236" spans="8:9" x14ac:dyDescent="0.25">
      <c r="H236" s="4" t="s">
        <v>246</v>
      </c>
      <c r="I236">
        <v>1</v>
      </c>
    </row>
    <row r="237" spans="8:9" x14ac:dyDescent="0.25">
      <c r="H237" s="4" t="s">
        <v>247</v>
      </c>
      <c r="I237">
        <v>1</v>
      </c>
    </row>
    <row r="238" spans="8:9" x14ac:dyDescent="0.25">
      <c r="H238" s="4" t="s">
        <v>248</v>
      </c>
      <c r="I238">
        <v>1</v>
      </c>
    </row>
    <row r="239" spans="8:9" x14ac:dyDescent="0.25">
      <c r="H239" s="4" t="s">
        <v>249</v>
      </c>
      <c r="I239">
        <v>1</v>
      </c>
    </row>
    <row r="240" spans="8:9" x14ac:dyDescent="0.25">
      <c r="H240" s="4" t="s">
        <v>250</v>
      </c>
      <c r="I240">
        <v>1</v>
      </c>
    </row>
    <row r="241" spans="8:9" x14ac:dyDescent="0.25">
      <c r="H241" s="4" t="s">
        <v>251</v>
      </c>
      <c r="I241">
        <v>1</v>
      </c>
    </row>
    <row r="242" spans="8:9" x14ac:dyDescent="0.25">
      <c r="H242" s="4" t="s">
        <v>252</v>
      </c>
      <c r="I242">
        <v>1</v>
      </c>
    </row>
    <row r="243" spans="8:9" x14ac:dyDescent="0.25">
      <c r="H243" s="4" t="s">
        <v>253</v>
      </c>
      <c r="I243">
        <v>1</v>
      </c>
    </row>
    <row r="244" spans="8:9" x14ac:dyDescent="0.25">
      <c r="H244" s="4" t="s">
        <v>254</v>
      </c>
      <c r="I244">
        <v>1</v>
      </c>
    </row>
    <row r="245" spans="8:9" x14ac:dyDescent="0.25">
      <c r="H245" s="4" t="s">
        <v>255</v>
      </c>
      <c r="I245">
        <v>1</v>
      </c>
    </row>
    <row r="246" spans="8:9" x14ac:dyDescent="0.25">
      <c r="H246" s="4" t="s">
        <v>256</v>
      </c>
      <c r="I246">
        <v>1</v>
      </c>
    </row>
    <row r="247" spans="8:9" x14ac:dyDescent="0.25">
      <c r="H247" s="4" t="s">
        <v>257</v>
      </c>
      <c r="I247">
        <v>1</v>
      </c>
    </row>
    <row r="248" spans="8:9" x14ac:dyDescent="0.25">
      <c r="H248" s="4" t="s">
        <v>258</v>
      </c>
      <c r="I248">
        <v>1</v>
      </c>
    </row>
    <row r="249" spans="8:9" x14ac:dyDescent="0.25">
      <c r="H249" s="4" t="s">
        <v>259</v>
      </c>
      <c r="I249">
        <v>1</v>
      </c>
    </row>
    <row r="250" spans="8:9" x14ac:dyDescent="0.25">
      <c r="H250" s="4" t="s">
        <v>260</v>
      </c>
      <c r="I250">
        <v>1</v>
      </c>
    </row>
    <row r="251" spans="8:9" x14ac:dyDescent="0.25">
      <c r="H251" s="4" t="s">
        <v>261</v>
      </c>
      <c r="I251">
        <v>1</v>
      </c>
    </row>
    <row r="252" spans="8:9" x14ac:dyDescent="0.25">
      <c r="H252" s="4" t="s">
        <v>262</v>
      </c>
      <c r="I252">
        <v>1</v>
      </c>
    </row>
    <row r="253" spans="8:9" x14ac:dyDescent="0.25">
      <c r="H253" s="4" t="s">
        <v>263</v>
      </c>
      <c r="I253">
        <v>1</v>
      </c>
    </row>
    <row r="254" spans="8:9" x14ac:dyDescent="0.25">
      <c r="H254" s="4" t="s">
        <v>264</v>
      </c>
      <c r="I254">
        <v>1</v>
      </c>
    </row>
    <row r="255" spans="8:9" x14ac:dyDescent="0.25">
      <c r="H255" s="4" t="s">
        <v>265</v>
      </c>
      <c r="I255">
        <v>1</v>
      </c>
    </row>
    <row r="256" spans="8:9" x14ac:dyDescent="0.25">
      <c r="H256" s="4" t="s">
        <v>266</v>
      </c>
      <c r="I256">
        <v>1</v>
      </c>
    </row>
    <row r="257" spans="8:9" x14ac:dyDescent="0.25">
      <c r="H257" s="4" t="s">
        <v>267</v>
      </c>
      <c r="I257">
        <v>1</v>
      </c>
    </row>
    <row r="258" spans="8:9" x14ac:dyDescent="0.25">
      <c r="H258" s="4" t="s">
        <v>268</v>
      </c>
      <c r="I258">
        <v>1</v>
      </c>
    </row>
    <row r="259" spans="8:9" x14ac:dyDescent="0.25">
      <c r="H259" s="4" t="s">
        <v>269</v>
      </c>
      <c r="I259">
        <v>1</v>
      </c>
    </row>
    <row r="260" spans="8:9" x14ac:dyDescent="0.25">
      <c r="H260" s="4" t="s">
        <v>270</v>
      </c>
      <c r="I260">
        <v>1</v>
      </c>
    </row>
    <row r="261" spans="8:9" x14ac:dyDescent="0.25">
      <c r="H261" s="4" t="s">
        <v>271</v>
      </c>
      <c r="I261">
        <v>1</v>
      </c>
    </row>
    <row r="262" spans="8:9" x14ac:dyDescent="0.25">
      <c r="H262" s="4" t="s">
        <v>272</v>
      </c>
      <c r="I262">
        <v>1</v>
      </c>
    </row>
    <row r="263" spans="8:9" x14ac:dyDescent="0.25">
      <c r="H263" s="4" t="s">
        <v>273</v>
      </c>
      <c r="I263">
        <v>1</v>
      </c>
    </row>
    <row r="264" spans="8:9" x14ac:dyDescent="0.25">
      <c r="H264" s="4" t="s">
        <v>274</v>
      </c>
      <c r="I264">
        <v>1</v>
      </c>
    </row>
    <row r="265" spans="8:9" x14ac:dyDescent="0.25">
      <c r="H265" s="4" t="s">
        <v>275</v>
      </c>
      <c r="I265">
        <v>1</v>
      </c>
    </row>
    <row r="266" spans="8:9" x14ac:dyDescent="0.25">
      <c r="H266" s="4" t="s">
        <v>276</v>
      </c>
      <c r="I266">
        <v>1</v>
      </c>
    </row>
    <row r="267" spans="8:9" x14ac:dyDescent="0.25">
      <c r="H267" s="4" t="s">
        <v>277</v>
      </c>
      <c r="I267">
        <v>1</v>
      </c>
    </row>
    <row r="268" spans="8:9" x14ac:dyDescent="0.25">
      <c r="H268" s="4" t="s">
        <v>278</v>
      </c>
      <c r="I268">
        <v>1</v>
      </c>
    </row>
    <row r="269" spans="8:9" x14ac:dyDescent="0.25">
      <c r="H269" s="4" t="s">
        <v>279</v>
      </c>
      <c r="I269">
        <v>1</v>
      </c>
    </row>
    <row r="270" spans="8:9" x14ac:dyDescent="0.25">
      <c r="H270" s="4" t="s">
        <v>280</v>
      </c>
      <c r="I270">
        <v>1</v>
      </c>
    </row>
    <row r="271" spans="8:9" x14ac:dyDescent="0.25">
      <c r="H271" s="4" t="s">
        <v>281</v>
      </c>
      <c r="I271">
        <v>1</v>
      </c>
    </row>
    <row r="272" spans="8:9" x14ac:dyDescent="0.25">
      <c r="H272" s="4" t="s">
        <v>282</v>
      </c>
      <c r="I272">
        <v>1</v>
      </c>
    </row>
    <row r="273" spans="8:9" x14ac:dyDescent="0.25">
      <c r="H273" s="4" t="s">
        <v>283</v>
      </c>
      <c r="I273">
        <v>1</v>
      </c>
    </row>
    <row r="274" spans="8:9" x14ac:dyDescent="0.25">
      <c r="H274" s="4" t="s">
        <v>284</v>
      </c>
      <c r="I274">
        <v>1</v>
      </c>
    </row>
    <row r="275" spans="8:9" x14ac:dyDescent="0.25">
      <c r="H275" s="4" t="s">
        <v>285</v>
      </c>
      <c r="I275">
        <v>1</v>
      </c>
    </row>
    <row r="276" spans="8:9" x14ac:dyDescent="0.25">
      <c r="H276" s="4" t="s">
        <v>286</v>
      </c>
      <c r="I276">
        <v>1</v>
      </c>
    </row>
    <row r="277" spans="8:9" x14ac:dyDescent="0.25">
      <c r="H277" s="4" t="s">
        <v>287</v>
      </c>
      <c r="I277">
        <v>1</v>
      </c>
    </row>
    <row r="278" spans="8:9" x14ac:dyDescent="0.25">
      <c r="H278" s="4" t="s">
        <v>288</v>
      </c>
      <c r="I278">
        <v>1</v>
      </c>
    </row>
    <row r="279" spans="8:9" x14ac:dyDescent="0.25">
      <c r="H279" s="4" t="s">
        <v>289</v>
      </c>
      <c r="I279">
        <v>1</v>
      </c>
    </row>
    <row r="280" spans="8:9" x14ac:dyDescent="0.25">
      <c r="H280" s="4" t="s">
        <v>290</v>
      </c>
      <c r="I280">
        <v>1</v>
      </c>
    </row>
    <row r="281" spans="8:9" x14ac:dyDescent="0.25">
      <c r="H281" s="4" t="s">
        <v>291</v>
      </c>
      <c r="I281">
        <v>1</v>
      </c>
    </row>
    <row r="282" spans="8:9" x14ac:dyDescent="0.25">
      <c r="H282" s="4" t="s">
        <v>292</v>
      </c>
      <c r="I282">
        <v>1</v>
      </c>
    </row>
    <row r="283" spans="8:9" x14ac:dyDescent="0.25">
      <c r="H283" s="4" t="s">
        <v>293</v>
      </c>
      <c r="I283">
        <v>1</v>
      </c>
    </row>
    <row r="284" spans="8:9" x14ac:dyDescent="0.25">
      <c r="H284" s="4" t="s">
        <v>294</v>
      </c>
      <c r="I284">
        <v>1</v>
      </c>
    </row>
    <row r="285" spans="8:9" x14ac:dyDescent="0.25">
      <c r="H285" s="4" t="s">
        <v>295</v>
      </c>
      <c r="I285">
        <v>1</v>
      </c>
    </row>
    <row r="286" spans="8:9" x14ac:dyDescent="0.25">
      <c r="H286" s="4" t="s">
        <v>296</v>
      </c>
      <c r="I286">
        <v>1</v>
      </c>
    </row>
    <row r="287" spans="8:9" x14ac:dyDescent="0.25">
      <c r="H287" s="4" t="s">
        <v>297</v>
      </c>
      <c r="I287">
        <v>1</v>
      </c>
    </row>
    <row r="288" spans="8:9" x14ac:dyDescent="0.25">
      <c r="H288" s="4" t="s">
        <v>298</v>
      </c>
      <c r="I288">
        <v>1</v>
      </c>
    </row>
    <row r="289" spans="8:9" x14ac:dyDescent="0.25">
      <c r="H289" s="4" t="s">
        <v>299</v>
      </c>
      <c r="I289">
        <v>1</v>
      </c>
    </row>
    <row r="290" spans="8:9" x14ac:dyDescent="0.25">
      <c r="H290" s="4" t="s">
        <v>300</v>
      </c>
      <c r="I290">
        <v>1</v>
      </c>
    </row>
    <row r="291" spans="8:9" x14ac:dyDescent="0.25">
      <c r="H291" s="4" t="s">
        <v>301</v>
      </c>
      <c r="I291">
        <v>1</v>
      </c>
    </row>
    <row r="292" spans="8:9" x14ac:dyDescent="0.25">
      <c r="H292" s="4" t="s">
        <v>302</v>
      </c>
      <c r="I292">
        <v>1</v>
      </c>
    </row>
    <row r="293" spans="8:9" x14ac:dyDescent="0.25">
      <c r="H293" s="4" t="s">
        <v>303</v>
      </c>
      <c r="I293">
        <v>1</v>
      </c>
    </row>
    <row r="294" spans="8:9" x14ac:dyDescent="0.25">
      <c r="H294" s="4" t="s">
        <v>304</v>
      </c>
      <c r="I294">
        <v>1</v>
      </c>
    </row>
    <row r="295" spans="8:9" x14ac:dyDescent="0.25">
      <c r="H295" s="4" t="s">
        <v>305</v>
      </c>
      <c r="I295">
        <v>1</v>
      </c>
    </row>
    <row r="296" spans="8:9" x14ac:dyDescent="0.25">
      <c r="H296" s="4" t="s">
        <v>306</v>
      </c>
      <c r="I296">
        <v>1</v>
      </c>
    </row>
    <row r="297" spans="8:9" x14ac:dyDescent="0.25">
      <c r="H297" s="4" t="s">
        <v>307</v>
      </c>
      <c r="I297">
        <v>1</v>
      </c>
    </row>
    <row r="298" spans="8:9" x14ac:dyDescent="0.25">
      <c r="H298" s="4" t="s">
        <v>308</v>
      </c>
      <c r="I298">
        <v>1</v>
      </c>
    </row>
    <row r="299" spans="8:9" x14ac:dyDescent="0.25">
      <c r="H299" s="4" t="s">
        <v>309</v>
      </c>
      <c r="I299">
        <v>1</v>
      </c>
    </row>
    <row r="300" spans="8:9" x14ac:dyDescent="0.25">
      <c r="H300" s="4" t="s">
        <v>310</v>
      </c>
      <c r="I300">
        <v>1</v>
      </c>
    </row>
    <row r="301" spans="8:9" x14ac:dyDescent="0.25">
      <c r="H301" s="4" t="s">
        <v>311</v>
      </c>
      <c r="I301">
        <v>1</v>
      </c>
    </row>
    <row r="302" spans="8:9" x14ac:dyDescent="0.25">
      <c r="H302" s="4" t="s">
        <v>312</v>
      </c>
      <c r="I302">
        <v>1</v>
      </c>
    </row>
    <row r="303" spans="8:9" x14ac:dyDescent="0.25">
      <c r="H303" s="4" t="s">
        <v>313</v>
      </c>
      <c r="I303">
        <v>1</v>
      </c>
    </row>
    <row r="304" spans="8:9" x14ac:dyDescent="0.25">
      <c r="H304" s="4" t="s">
        <v>314</v>
      </c>
      <c r="I304">
        <v>1</v>
      </c>
    </row>
    <row r="305" spans="8:9" x14ac:dyDescent="0.25">
      <c r="H305" s="4" t="s">
        <v>315</v>
      </c>
      <c r="I305">
        <v>1</v>
      </c>
    </row>
    <row r="306" spans="8:9" x14ac:dyDescent="0.25">
      <c r="H306" s="4" t="s">
        <v>316</v>
      </c>
      <c r="I306">
        <v>1</v>
      </c>
    </row>
    <row r="307" spans="8:9" x14ac:dyDescent="0.25">
      <c r="H307" s="4" t="s">
        <v>317</v>
      </c>
      <c r="I307">
        <v>1</v>
      </c>
    </row>
    <row r="308" spans="8:9" x14ac:dyDescent="0.25">
      <c r="H308" s="4" t="s">
        <v>318</v>
      </c>
      <c r="I308">
        <v>1</v>
      </c>
    </row>
    <row r="309" spans="8:9" x14ac:dyDescent="0.25">
      <c r="H309" s="4" t="s">
        <v>319</v>
      </c>
      <c r="I309">
        <v>1</v>
      </c>
    </row>
    <row r="310" spans="8:9" x14ac:dyDescent="0.25">
      <c r="H310" s="4" t="s">
        <v>320</v>
      </c>
      <c r="I310">
        <v>1</v>
      </c>
    </row>
    <row r="311" spans="8:9" x14ac:dyDescent="0.25">
      <c r="H311" s="4" t="s">
        <v>321</v>
      </c>
      <c r="I311">
        <v>1</v>
      </c>
    </row>
    <row r="312" spans="8:9" x14ac:dyDescent="0.25">
      <c r="H312" s="4" t="s">
        <v>322</v>
      </c>
      <c r="I312">
        <v>1</v>
      </c>
    </row>
    <row r="313" spans="8:9" x14ac:dyDescent="0.25">
      <c r="H313" s="4" t="s">
        <v>323</v>
      </c>
      <c r="I313">
        <v>1</v>
      </c>
    </row>
    <row r="314" spans="8:9" x14ac:dyDescent="0.25">
      <c r="H314" s="4" t="s">
        <v>324</v>
      </c>
      <c r="I314">
        <v>1</v>
      </c>
    </row>
    <row r="315" spans="8:9" x14ac:dyDescent="0.25">
      <c r="H315" s="4" t="s">
        <v>325</v>
      </c>
      <c r="I315">
        <v>1</v>
      </c>
    </row>
    <row r="316" spans="8:9" x14ac:dyDescent="0.25">
      <c r="H316" s="4" t="s">
        <v>326</v>
      </c>
      <c r="I316">
        <v>1</v>
      </c>
    </row>
    <row r="317" spans="8:9" x14ac:dyDescent="0.25">
      <c r="H317" s="4" t="s">
        <v>327</v>
      </c>
      <c r="I317">
        <v>1</v>
      </c>
    </row>
    <row r="318" spans="8:9" x14ac:dyDescent="0.25">
      <c r="H318" s="4" t="s">
        <v>328</v>
      </c>
      <c r="I318">
        <v>1</v>
      </c>
    </row>
    <row r="319" spans="8:9" x14ac:dyDescent="0.25">
      <c r="H319" s="4" t="s">
        <v>329</v>
      </c>
      <c r="I319">
        <v>1</v>
      </c>
    </row>
    <row r="320" spans="8:9" x14ac:dyDescent="0.25">
      <c r="H320" s="4" t="s">
        <v>330</v>
      </c>
      <c r="I320">
        <v>1</v>
      </c>
    </row>
    <row r="321" spans="8:9" x14ac:dyDescent="0.25">
      <c r="H321" s="4" t="s">
        <v>331</v>
      </c>
      <c r="I321">
        <v>1</v>
      </c>
    </row>
    <row r="322" spans="8:9" x14ac:dyDescent="0.25">
      <c r="H322" s="4" t="s">
        <v>332</v>
      </c>
      <c r="I322">
        <v>1</v>
      </c>
    </row>
    <row r="323" spans="8:9" x14ac:dyDescent="0.25">
      <c r="H323" s="4" t="s">
        <v>333</v>
      </c>
      <c r="I323">
        <v>1</v>
      </c>
    </row>
    <row r="324" spans="8:9" x14ac:dyDescent="0.25">
      <c r="H324" s="4" t="s">
        <v>334</v>
      </c>
      <c r="I324">
        <v>1</v>
      </c>
    </row>
    <row r="325" spans="8:9" x14ac:dyDescent="0.25">
      <c r="H325" s="4" t="s">
        <v>335</v>
      </c>
      <c r="I325">
        <v>1</v>
      </c>
    </row>
    <row r="326" spans="8:9" x14ac:dyDescent="0.25">
      <c r="H326" s="4" t="s">
        <v>336</v>
      </c>
      <c r="I326">
        <v>1</v>
      </c>
    </row>
    <row r="327" spans="8:9" x14ac:dyDescent="0.25">
      <c r="H327" s="4" t="s">
        <v>337</v>
      </c>
      <c r="I327">
        <v>1</v>
      </c>
    </row>
    <row r="328" spans="8:9" x14ac:dyDescent="0.25">
      <c r="H328" s="4" t="s">
        <v>338</v>
      </c>
      <c r="I328">
        <v>1</v>
      </c>
    </row>
    <row r="329" spans="8:9" x14ac:dyDescent="0.25">
      <c r="H329" s="4" t="s">
        <v>339</v>
      </c>
      <c r="I329">
        <v>1</v>
      </c>
    </row>
    <row r="330" spans="8:9" x14ac:dyDescent="0.25">
      <c r="H330" s="4" t="s">
        <v>340</v>
      </c>
      <c r="I330">
        <v>1</v>
      </c>
    </row>
    <row r="331" spans="8:9" x14ac:dyDescent="0.25">
      <c r="H331" s="4" t="s">
        <v>341</v>
      </c>
      <c r="I331">
        <v>1</v>
      </c>
    </row>
    <row r="332" spans="8:9" x14ac:dyDescent="0.25">
      <c r="H332" s="4" t="s">
        <v>342</v>
      </c>
      <c r="I332">
        <v>1</v>
      </c>
    </row>
    <row r="333" spans="8:9" x14ac:dyDescent="0.25">
      <c r="H333" s="4" t="s">
        <v>343</v>
      </c>
      <c r="I333">
        <v>1</v>
      </c>
    </row>
    <row r="334" spans="8:9" x14ac:dyDescent="0.25">
      <c r="H334" s="4" t="s">
        <v>344</v>
      </c>
      <c r="I334">
        <v>1</v>
      </c>
    </row>
    <row r="335" spans="8:9" x14ac:dyDescent="0.25">
      <c r="H335" s="4" t="s">
        <v>345</v>
      </c>
      <c r="I335">
        <v>1</v>
      </c>
    </row>
    <row r="336" spans="8:9" x14ac:dyDescent="0.25">
      <c r="H336" s="4" t="s">
        <v>346</v>
      </c>
      <c r="I336">
        <v>1</v>
      </c>
    </row>
    <row r="337" spans="8:9" x14ac:dyDescent="0.25">
      <c r="H337" s="4" t="s">
        <v>347</v>
      </c>
      <c r="I337">
        <v>1</v>
      </c>
    </row>
    <row r="338" spans="8:9" x14ac:dyDescent="0.25">
      <c r="H338" s="4" t="s">
        <v>348</v>
      </c>
      <c r="I338">
        <v>1</v>
      </c>
    </row>
    <row r="339" spans="8:9" x14ac:dyDescent="0.25">
      <c r="H339" s="4" t="s">
        <v>349</v>
      </c>
      <c r="I339">
        <v>1</v>
      </c>
    </row>
    <row r="340" spans="8:9" x14ac:dyDescent="0.25">
      <c r="H340" s="4" t="s">
        <v>350</v>
      </c>
      <c r="I340">
        <v>1</v>
      </c>
    </row>
    <row r="341" spans="8:9" x14ac:dyDescent="0.25">
      <c r="H341" s="4" t="s">
        <v>351</v>
      </c>
      <c r="I341">
        <v>1</v>
      </c>
    </row>
    <row r="342" spans="8:9" x14ac:dyDescent="0.25">
      <c r="H342" s="4" t="s">
        <v>352</v>
      </c>
      <c r="I342">
        <v>1</v>
      </c>
    </row>
    <row r="343" spans="8:9" x14ac:dyDescent="0.25">
      <c r="H343" s="4" t="s">
        <v>353</v>
      </c>
      <c r="I343">
        <v>1</v>
      </c>
    </row>
    <row r="344" spans="8:9" x14ac:dyDescent="0.25">
      <c r="H344" s="4" t="s">
        <v>354</v>
      </c>
      <c r="I344">
        <v>1</v>
      </c>
    </row>
    <row r="345" spans="8:9" x14ac:dyDescent="0.25">
      <c r="H345" s="4" t="s">
        <v>355</v>
      </c>
      <c r="I345">
        <v>1</v>
      </c>
    </row>
    <row r="346" spans="8:9" x14ac:dyDescent="0.25">
      <c r="H346" s="4" t="s">
        <v>356</v>
      </c>
      <c r="I346">
        <v>1</v>
      </c>
    </row>
    <row r="347" spans="8:9" x14ac:dyDescent="0.25">
      <c r="H347" s="4" t="s">
        <v>357</v>
      </c>
      <c r="I347">
        <v>1</v>
      </c>
    </row>
    <row r="348" spans="8:9" x14ac:dyDescent="0.25">
      <c r="H348" s="4" t="s">
        <v>358</v>
      </c>
      <c r="I348">
        <v>1</v>
      </c>
    </row>
    <row r="349" spans="8:9" x14ac:dyDescent="0.25">
      <c r="H349" s="4" t="s">
        <v>359</v>
      </c>
      <c r="I349">
        <v>1</v>
      </c>
    </row>
    <row r="350" spans="8:9" x14ac:dyDescent="0.25">
      <c r="H350" s="4" t="s">
        <v>360</v>
      </c>
      <c r="I350">
        <v>1</v>
      </c>
    </row>
    <row r="351" spans="8:9" x14ac:dyDescent="0.25">
      <c r="H351" s="4" t="s">
        <v>361</v>
      </c>
      <c r="I351">
        <v>1</v>
      </c>
    </row>
    <row r="352" spans="8:9" x14ac:dyDescent="0.25">
      <c r="H352" s="4" t="s">
        <v>362</v>
      </c>
      <c r="I352">
        <v>1</v>
      </c>
    </row>
    <row r="353" spans="8:9" x14ac:dyDescent="0.25">
      <c r="H353" s="4" t="s">
        <v>363</v>
      </c>
      <c r="I353">
        <v>1</v>
      </c>
    </row>
    <row r="354" spans="8:9" x14ac:dyDescent="0.25">
      <c r="H354" s="4" t="s">
        <v>364</v>
      </c>
      <c r="I354">
        <v>1</v>
      </c>
    </row>
    <row r="355" spans="8:9" x14ac:dyDescent="0.25">
      <c r="H355" s="4" t="s">
        <v>365</v>
      </c>
      <c r="I355">
        <v>1</v>
      </c>
    </row>
    <row r="356" spans="8:9" x14ac:dyDescent="0.25">
      <c r="H356" s="4" t="s">
        <v>366</v>
      </c>
      <c r="I356">
        <v>1</v>
      </c>
    </row>
    <row r="357" spans="8:9" x14ac:dyDescent="0.25">
      <c r="H357" s="4" t="s">
        <v>367</v>
      </c>
      <c r="I357">
        <v>1</v>
      </c>
    </row>
    <row r="358" spans="8:9" x14ac:dyDescent="0.25">
      <c r="H358" s="4" t="s">
        <v>368</v>
      </c>
      <c r="I358">
        <v>1</v>
      </c>
    </row>
    <row r="359" spans="8:9" x14ac:dyDescent="0.25">
      <c r="H359" s="4" t="s">
        <v>369</v>
      </c>
      <c r="I359">
        <v>1</v>
      </c>
    </row>
    <row r="360" spans="8:9" x14ac:dyDescent="0.25">
      <c r="H360" s="4" t="s">
        <v>370</v>
      </c>
      <c r="I360">
        <v>1</v>
      </c>
    </row>
    <row r="361" spans="8:9" x14ac:dyDescent="0.25">
      <c r="H361" s="4" t="s">
        <v>371</v>
      </c>
      <c r="I361">
        <v>1</v>
      </c>
    </row>
    <row r="362" spans="8:9" x14ac:dyDescent="0.25">
      <c r="H362" s="4" t="s">
        <v>372</v>
      </c>
      <c r="I362">
        <v>1</v>
      </c>
    </row>
    <row r="363" spans="8:9" x14ac:dyDescent="0.25">
      <c r="H363" s="4" t="s">
        <v>373</v>
      </c>
      <c r="I363">
        <v>1</v>
      </c>
    </row>
    <row r="364" spans="8:9" x14ac:dyDescent="0.25">
      <c r="H364" s="4" t="s">
        <v>374</v>
      </c>
      <c r="I364">
        <v>1</v>
      </c>
    </row>
    <row r="365" spans="8:9" x14ac:dyDescent="0.25">
      <c r="H365" s="4" t="s">
        <v>375</v>
      </c>
      <c r="I365">
        <v>1</v>
      </c>
    </row>
    <row r="366" spans="8:9" x14ac:dyDescent="0.25">
      <c r="H366" s="4" t="s">
        <v>376</v>
      </c>
      <c r="I366">
        <v>1</v>
      </c>
    </row>
    <row r="367" spans="8:9" x14ac:dyDescent="0.25">
      <c r="H367" s="4" t="s">
        <v>377</v>
      </c>
      <c r="I367">
        <v>1</v>
      </c>
    </row>
    <row r="368" spans="8:9" x14ac:dyDescent="0.25">
      <c r="H368" s="4" t="s">
        <v>378</v>
      </c>
      <c r="I368">
        <v>1</v>
      </c>
    </row>
    <row r="369" spans="8:9" x14ac:dyDescent="0.25">
      <c r="H369" s="4" t="s">
        <v>379</v>
      </c>
      <c r="I369">
        <v>1</v>
      </c>
    </row>
    <row r="370" spans="8:9" x14ac:dyDescent="0.25">
      <c r="H370" s="4" t="s">
        <v>380</v>
      </c>
      <c r="I370">
        <v>1</v>
      </c>
    </row>
    <row r="371" spans="8:9" x14ac:dyDescent="0.25">
      <c r="H371" s="4" t="s">
        <v>381</v>
      </c>
      <c r="I371">
        <v>1</v>
      </c>
    </row>
    <row r="372" spans="8:9" x14ac:dyDescent="0.25">
      <c r="H372" s="4" t="s">
        <v>382</v>
      </c>
      <c r="I372">
        <v>1</v>
      </c>
    </row>
    <row r="373" spans="8:9" x14ac:dyDescent="0.25">
      <c r="H373" s="4" t="s">
        <v>383</v>
      </c>
      <c r="I373">
        <v>1</v>
      </c>
    </row>
    <row r="374" spans="8:9" x14ac:dyDescent="0.25">
      <c r="H374" s="4" t="s">
        <v>384</v>
      </c>
      <c r="I374">
        <v>1</v>
      </c>
    </row>
    <row r="375" spans="8:9" x14ac:dyDescent="0.25">
      <c r="H375" s="4" t="s">
        <v>385</v>
      </c>
      <c r="I375">
        <v>1</v>
      </c>
    </row>
    <row r="376" spans="8:9" x14ac:dyDescent="0.25">
      <c r="H376" s="4" t="s">
        <v>386</v>
      </c>
      <c r="I376">
        <v>1</v>
      </c>
    </row>
    <row r="377" spans="8:9" x14ac:dyDescent="0.25">
      <c r="H377" s="4" t="s">
        <v>387</v>
      </c>
      <c r="I377">
        <v>1</v>
      </c>
    </row>
    <row r="378" spans="8:9" x14ac:dyDescent="0.25">
      <c r="H378" s="4" t="s">
        <v>388</v>
      </c>
      <c r="I378">
        <v>1</v>
      </c>
    </row>
    <row r="379" spans="8:9" x14ac:dyDescent="0.25">
      <c r="H379" s="4" t="s">
        <v>389</v>
      </c>
      <c r="I379">
        <v>1</v>
      </c>
    </row>
    <row r="380" spans="8:9" x14ac:dyDescent="0.25">
      <c r="H380" s="4" t="s">
        <v>390</v>
      </c>
      <c r="I380">
        <v>1</v>
      </c>
    </row>
    <row r="381" spans="8:9" x14ac:dyDescent="0.25">
      <c r="H381" s="4" t="s">
        <v>391</v>
      </c>
      <c r="I381">
        <v>1</v>
      </c>
    </row>
    <row r="382" spans="8:9" x14ac:dyDescent="0.25">
      <c r="H382" s="4" t="s">
        <v>392</v>
      </c>
      <c r="I382">
        <v>1</v>
      </c>
    </row>
    <row r="383" spans="8:9" x14ac:dyDescent="0.25">
      <c r="H383" s="4" t="s">
        <v>393</v>
      </c>
      <c r="I383">
        <v>1</v>
      </c>
    </row>
    <row r="384" spans="8:9" x14ac:dyDescent="0.25">
      <c r="H384" s="4" t="s">
        <v>394</v>
      </c>
      <c r="I384">
        <v>1</v>
      </c>
    </row>
    <row r="385" spans="8:9" x14ac:dyDescent="0.25">
      <c r="H385" s="4" t="s">
        <v>395</v>
      </c>
      <c r="I385">
        <v>1</v>
      </c>
    </row>
    <row r="386" spans="8:9" x14ac:dyDescent="0.25">
      <c r="H386" s="4" t="s">
        <v>396</v>
      </c>
      <c r="I386">
        <v>1</v>
      </c>
    </row>
    <row r="387" spans="8:9" x14ac:dyDescent="0.25">
      <c r="H387" s="4" t="s">
        <v>397</v>
      </c>
      <c r="I387">
        <v>1</v>
      </c>
    </row>
    <row r="388" spans="8:9" x14ac:dyDescent="0.25">
      <c r="H388" s="4" t="s">
        <v>398</v>
      </c>
      <c r="I388">
        <v>1</v>
      </c>
    </row>
    <row r="389" spans="8:9" x14ac:dyDescent="0.25">
      <c r="H389" s="4" t="s">
        <v>399</v>
      </c>
      <c r="I389">
        <v>1</v>
      </c>
    </row>
    <row r="390" spans="8:9" x14ac:dyDescent="0.25">
      <c r="H390" s="4" t="s">
        <v>400</v>
      </c>
      <c r="I390">
        <v>1</v>
      </c>
    </row>
    <row r="391" spans="8:9" x14ac:dyDescent="0.25">
      <c r="H391" s="4" t="s">
        <v>401</v>
      </c>
      <c r="I391">
        <v>1</v>
      </c>
    </row>
    <row r="392" spans="8:9" x14ac:dyDescent="0.25">
      <c r="H392" s="4" t="s">
        <v>402</v>
      </c>
      <c r="I392">
        <v>1</v>
      </c>
    </row>
    <row r="393" spans="8:9" x14ac:dyDescent="0.25">
      <c r="H393" s="4" t="s">
        <v>403</v>
      </c>
      <c r="I393">
        <v>1</v>
      </c>
    </row>
    <row r="394" spans="8:9" x14ac:dyDescent="0.25">
      <c r="H394" s="4" t="s">
        <v>404</v>
      </c>
      <c r="I394">
        <v>1</v>
      </c>
    </row>
    <row r="395" spans="8:9" x14ac:dyDescent="0.25">
      <c r="H395" s="4" t="s">
        <v>405</v>
      </c>
      <c r="I395">
        <v>1</v>
      </c>
    </row>
    <row r="396" spans="8:9" x14ac:dyDescent="0.25">
      <c r="H396" s="4" t="s">
        <v>406</v>
      </c>
      <c r="I396">
        <v>1</v>
      </c>
    </row>
    <row r="397" spans="8:9" x14ac:dyDescent="0.25">
      <c r="H397" s="4" t="s">
        <v>407</v>
      </c>
      <c r="I397">
        <v>1</v>
      </c>
    </row>
    <row r="398" spans="8:9" x14ac:dyDescent="0.25">
      <c r="H398" s="4" t="s">
        <v>408</v>
      </c>
      <c r="I398">
        <v>1</v>
      </c>
    </row>
    <row r="399" spans="8:9" x14ac:dyDescent="0.25">
      <c r="H399" s="4" t="s">
        <v>409</v>
      </c>
      <c r="I399">
        <v>1</v>
      </c>
    </row>
    <row r="400" spans="8:9" x14ac:dyDescent="0.25">
      <c r="H400" s="4" t="s">
        <v>410</v>
      </c>
      <c r="I400">
        <v>1</v>
      </c>
    </row>
    <row r="401" spans="8:9" x14ac:dyDescent="0.25">
      <c r="H401" s="4" t="s">
        <v>411</v>
      </c>
      <c r="I401">
        <v>1</v>
      </c>
    </row>
    <row r="402" spans="8:9" x14ac:dyDescent="0.25">
      <c r="H402" s="4" t="s">
        <v>412</v>
      </c>
      <c r="I402">
        <v>1</v>
      </c>
    </row>
    <row r="403" spans="8:9" x14ac:dyDescent="0.25">
      <c r="H403" s="4" t="s">
        <v>413</v>
      </c>
      <c r="I403">
        <v>1</v>
      </c>
    </row>
    <row r="404" spans="8:9" x14ac:dyDescent="0.25">
      <c r="H404" s="4" t="s">
        <v>414</v>
      </c>
      <c r="I404">
        <v>1</v>
      </c>
    </row>
    <row r="405" spans="8:9" x14ac:dyDescent="0.25">
      <c r="H405" s="4" t="s">
        <v>415</v>
      </c>
      <c r="I405">
        <v>1</v>
      </c>
    </row>
    <row r="406" spans="8:9" x14ac:dyDescent="0.25">
      <c r="H406" s="4" t="s">
        <v>416</v>
      </c>
      <c r="I406">
        <v>1</v>
      </c>
    </row>
    <row r="407" spans="8:9" x14ac:dyDescent="0.25">
      <c r="H407" s="4" t="s">
        <v>417</v>
      </c>
      <c r="I407">
        <v>1</v>
      </c>
    </row>
    <row r="408" spans="8:9" x14ac:dyDescent="0.25">
      <c r="H408" s="4" t="s">
        <v>418</v>
      </c>
      <c r="I408">
        <v>1</v>
      </c>
    </row>
    <row r="409" spans="8:9" x14ac:dyDescent="0.25">
      <c r="H409" s="4" t="s">
        <v>419</v>
      </c>
      <c r="I409">
        <v>1</v>
      </c>
    </row>
    <row r="410" spans="8:9" x14ac:dyDescent="0.25">
      <c r="H410" s="4" t="s">
        <v>420</v>
      </c>
      <c r="I410">
        <v>1</v>
      </c>
    </row>
    <row r="411" spans="8:9" x14ac:dyDescent="0.25">
      <c r="H411" s="4" t="s">
        <v>421</v>
      </c>
      <c r="I411">
        <v>1</v>
      </c>
    </row>
    <row r="412" spans="8:9" x14ac:dyDescent="0.25">
      <c r="H412" s="4" t="s">
        <v>422</v>
      </c>
      <c r="I412">
        <v>1</v>
      </c>
    </row>
    <row r="413" spans="8:9" x14ac:dyDescent="0.25">
      <c r="H413" s="4" t="s">
        <v>423</v>
      </c>
      <c r="I413">
        <v>1</v>
      </c>
    </row>
    <row r="414" spans="8:9" x14ac:dyDescent="0.25">
      <c r="H414" s="4" t="s">
        <v>424</v>
      </c>
      <c r="I414">
        <v>1</v>
      </c>
    </row>
    <row r="415" spans="8:9" x14ac:dyDescent="0.25">
      <c r="H415" s="4" t="s">
        <v>425</v>
      </c>
      <c r="I415">
        <v>1</v>
      </c>
    </row>
    <row r="416" spans="8:9" x14ac:dyDescent="0.25">
      <c r="H416" s="4" t="s">
        <v>426</v>
      </c>
      <c r="I416">
        <v>1</v>
      </c>
    </row>
    <row r="417" spans="8:9" x14ac:dyDescent="0.25">
      <c r="H417" s="4" t="s">
        <v>427</v>
      </c>
      <c r="I417">
        <v>1</v>
      </c>
    </row>
    <row r="418" spans="8:9" x14ac:dyDescent="0.25">
      <c r="H418" s="4" t="s">
        <v>428</v>
      </c>
      <c r="I418">
        <v>1</v>
      </c>
    </row>
    <row r="419" spans="8:9" x14ac:dyDescent="0.25">
      <c r="H419" s="4" t="s">
        <v>429</v>
      </c>
      <c r="I419">
        <v>1</v>
      </c>
    </row>
    <row r="420" spans="8:9" x14ac:dyDescent="0.25">
      <c r="H420" s="4" t="s">
        <v>430</v>
      </c>
      <c r="I420">
        <v>1</v>
      </c>
    </row>
    <row r="421" spans="8:9" x14ac:dyDescent="0.25">
      <c r="H421" s="4" t="s">
        <v>431</v>
      </c>
      <c r="I421">
        <v>1</v>
      </c>
    </row>
    <row r="422" spans="8:9" x14ac:dyDescent="0.25">
      <c r="H422" s="4" t="s">
        <v>432</v>
      </c>
      <c r="I422">
        <v>1</v>
      </c>
    </row>
    <row r="423" spans="8:9" x14ac:dyDescent="0.25">
      <c r="H423" s="4" t="s">
        <v>433</v>
      </c>
      <c r="I423">
        <v>1</v>
      </c>
    </row>
    <row r="424" spans="8:9" x14ac:dyDescent="0.25">
      <c r="H424" s="4" t="s">
        <v>434</v>
      </c>
      <c r="I424">
        <v>1</v>
      </c>
    </row>
    <row r="425" spans="8:9" x14ac:dyDescent="0.25">
      <c r="H425" s="4" t="s">
        <v>435</v>
      </c>
      <c r="I425">
        <v>1</v>
      </c>
    </row>
    <row r="426" spans="8:9" x14ac:dyDescent="0.25">
      <c r="H426" s="4" t="s">
        <v>436</v>
      </c>
      <c r="I426">
        <v>1</v>
      </c>
    </row>
    <row r="427" spans="8:9" x14ac:dyDescent="0.25">
      <c r="H427" s="4" t="s">
        <v>437</v>
      </c>
      <c r="I427">
        <v>1</v>
      </c>
    </row>
    <row r="428" spans="8:9" x14ac:dyDescent="0.25">
      <c r="H428" s="4" t="s">
        <v>438</v>
      </c>
      <c r="I428">
        <v>1</v>
      </c>
    </row>
    <row r="429" spans="8:9" x14ac:dyDescent="0.25">
      <c r="H429" s="4" t="s">
        <v>439</v>
      </c>
      <c r="I429">
        <v>1</v>
      </c>
    </row>
    <row r="430" spans="8:9" x14ac:dyDescent="0.25">
      <c r="H430" s="4" t="s">
        <v>440</v>
      </c>
      <c r="I430">
        <v>1</v>
      </c>
    </row>
    <row r="431" spans="8:9" x14ac:dyDescent="0.25">
      <c r="H431" s="4" t="s">
        <v>441</v>
      </c>
      <c r="I431">
        <v>1</v>
      </c>
    </row>
    <row r="432" spans="8:9" x14ac:dyDescent="0.25">
      <c r="H432" s="4" t="s">
        <v>442</v>
      </c>
      <c r="I432">
        <v>1</v>
      </c>
    </row>
    <row r="433" spans="8:9" x14ac:dyDescent="0.25">
      <c r="H433" s="4" t="s">
        <v>443</v>
      </c>
      <c r="I433">
        <v>1</v>
      </c>
    </row>
    <row r="434" spans="8:9" x14ac:dyDescent="0.25">
      <c r="H434" s="4" t="s">
        <v>444</v>
      </c>
      <c r="I434">
        <v>1</v>
      </c>
    </row>
    <row r="435" spans="8:9" x14ac:dyDescent="0.25">
      <c r="H435" s="4" t="s">
        <v>445</v>
      </c>
      <c r="I435">
        <v>1</v>
      </c>
    </row>
    <row r="436" spans="8:9" x14ac:dyDescent="0.25">
      <c r="H436" s="4" t="s">
        <v>446</v>
      </c>
      <c r="I436">
        <v>1</v>
      </c>
    </row>
    <row r="437" spans="8:9" x14ac:dyDescent="0.25">
      <c r="H437" s="4" t="s">
        <v>447</v>
      </c>
      <c r="I437">
        <v>1</v>
      </c>
    </row>
    <row r="438" spans="8:9" x14ac:dyDescent="0.25">
      <c r="H438" s="4" t="s">
        <v>448</v>
      </c>
      <c r="I438">
        <v>1</v>
      </c>
    </row>
    <row r="439" spans="8:9" x14ac:dyDescent="0.25">
      <c r="H439" s="4" t="s">
        <v>449</v>
      </c>
      <c r="I439">
        <v>1</v>
      </c>
    </row>
    <row r="440" spans="8:9" x14ac:dyDescent="0.25">
      <c r="H440" s="4" t="s">
        <v>450</v>
      </c>
      <c r="I440">
        <v>1</v>
      </c>
    </row>
    <row r="441" spans="8:9" x14ac:dyDescent="0.25">
      <c r="H441" s="4" t="s">
        <v>451</v>
      </c>
      <c r="I441">
        <v>1</v>
      </c>
    </row>
    <row r="442" spans="8:9" x14ac:dyDescent="0.25">
      <c r="H442" s="4" t="s">
        <v>452</v>
      </c>
      <c r="I442">
        <v>1</v>
      </c>
    </row>
    <row r="443" spans="8:9" x14ac:dyDescent="0.25">
      <c r="H443" s="4" t="s">
        <v>453</v>
      </c>
      <c r="I443">
        <v>1</v>
      </c>
    </row>
    <row r="444" spans="8:9" x14ac:dyDescent="0.25">
      <c r="H444" s="4" t="s">
        <v>454</v>
      </c>
      <c r="I444">
        <v>1</v>
      </c>
    </row>
    <row r="445" spans="8:9" x14ac:dyDescent="0.25">
      <c r="H445" s="4" t="s">
        <v>455</v>
      </c>
      <c r="I445">
        <v>1</v>
      </c>
    </row>
    <row r="446" spans="8:9" x14ac:dyDescent="0.25">
      <c r="H446" s="4" t="s">
        <v>456</v>
      </c>
      <c r="I446">
        <v>1</v>
      </c>
    </row>
    <row r="447" spans="8:9" x14ac:dyDescent="0.25">
      <c r="H447" s="4" t="s">
        <v>457</v>
      </c>
      <c r="I447">
        <v>1</v>
      </c>
    </row>
    <row r="448" spans="8:9" x14ac:dyDescent="0.25">
      <c r="H448" s="4" t="s">
        <v>458</v>
      </c>
      <c r="I448">
        <v>1</v>
      </c>
    </row>
    <row r="449" spans="8:9" x14ac:dyDescent="0.25">
      <c r="H449" s="4" t="s">
        <v>459</v>
      </c>
      <c r="I449">
        <v>1</v>
      </c>
    </row>
    <row r="450" spans="8:9" x14ac:dyDescent="0.25">
      <c r="H450" s="4" t="s">
        <v>460</v>
      </c>
      <c r="I450">
        <v>1</v>
      </c>
    </row>
    <row r="451" spans="8:9" x14ac:dyDescent="0.25">
      <c r="H451" s="4" t="s">
        <v>461</v>
      </c>
      <c r="I451">
        <v>1</v>
      </c>
    </row>
    <row r="452" spans="8:9" x14ac:dyDescent="0.25">
      <c r="H452" s="4" t="s">
        <v>462</v>
      </c>
      <c r="I452">
        <v>1</v>
      </c>
    </row>
    <row r="453" spans="8:9" x14ac:dyDescent="0.25">
      <c r="H453" s="4" t="s">
        <v>463</v>
      </c>
      <c r="I453">
        <v>1</v>
      </c>
    </row>
    <row r="454" spans="8:9" x14ac:dyDescent="0.25">
      <c r="H454" s="4" t="s">
        <v>464</v>
      </c>
      <c r="I454">
        <v>1</v>
      </c>
    </row>
    <row r="455" spans="8:9" x14ac:dyDescent="0.25">
      <c r="H455" s="4" t="s">
        <v>465</v>
      </c>
      <c r="I455">
        <v>1</v>
      </c>
    </row>
    <row r="456" spans="8:9" x14ac:dyDescent="0.25">
      <c r="H456" s="4" t="s">
        <v>466</v>
      </c>
      <c r="I456">
        <v>1</v>
      </c>
    </row>
    <row r="457" spans="8:9" x14ac:dyDescent="0.25">
      <c r="H457" s="4" t="s">
        <v>467</v>
      </c>
      <c r="I457">
        <v>1</v>
      </c>
    </row>
    <row r="458" spans="8:9" x14ac:dyDescent="0.25">
      <c r="H458" s="4" t="s">
        <v>468</v>
      </c>
      <c r="I458">
        <v>1</v>
      </c>
    </row>
    <row r="459" spans="8:9" x14ac:dyDescent="0.25">
      <c r="H459" s="4" t="s">
        <v>469</v>
      </c>
      <c r="I459">
        <v>1</v>
      </c>
    </row>
    <row r="460" spans="8:9" x14ac:dyDescent="0.25">
      <c r="H460" s="4" t="s">
        <v>470</v>
      </c>
      <c r="I460">
        <v>1</v>
      </c>
    </row>
    <row r="461" spans="8:9" x14ac:dyDescent="0.25">
      <c r="H461" s="4" t="s">
        <v>471</v>
      </c>
      <c r="I461">
        <v>1</v>
      </c>
    </row>
    <row r="462" spans="8:9" x14ac:dyDescent="0.25">
      <c r="H462" s="4" t="s">
        <v>472</v>
      </c>
      <c r="I462">
        <v>1</v>
      </c>
    </row>
    <row r="463" spans="8:9" x14ac:dyDescent="0.25">
      <c r="H463" s="4" t="s">
        <v>473</v>
      </c>
      <c r="I463">
        <v>1</v>
      </c>
    </row>
    <row r="464" spans="8:9" x14ac:dyDescent="0.25">
      <c r="H464" s="4" t="s">
        <v>474</v>
      </c>
      <c r="I464">
        <v>1</v>
      </c>
    </row>
    <row r="465" spans="8:9" x14ac:dyDescent="0.25">
      <c r="H465" s="4" t="s">
        <v>475</v>
      </c>
      <c r="I465">
        <v>1</v>
      </c>
    </row>
    <row r="466" spans="8:9" x14ac:dyDescent="0.25">
      <c r="H466" s="4" t="s">
        <v>476</v>
      </c>
      <c r="I466">
        <v>1</v>
      </c>
    </row>
    <row r="467" spans="8:9" x14ac:dyDescent="0.25">
      <c r="H467" s="4" t="s">
        <v>477</v>
      </c>
      <c r="I467">
        <v>1</v>
      </c>
    </row>
    <row r="468" spans="8:9" x14ac:dyDescent="0.25">
      <c r="H468" s="4" t="s">
        <v>478</v>
      </c>
      <c r="I468">
        <v>1</v>
      </c>
    </row>
    <row r="469" spans="8:9" x14ac:dyDescent="0.25">
      <c r="H469" s="4" t="s">
        <v>479</v>
      </c>
      <c r="I469">
        <v>1</v>
      </c>
    </row>
    <row r="470" spans="8:9" x14ac:dyDescent="0.25">
      <c r="H470" s="4" t="s">
        <v>480</v>
      </c>
      <c r="I470">
        <v>1</v>
      </c>
    </row>
    <row r="471" spans="8:9" x14ac:dyDescent="0.25">
      <c r="H471" s="4" t="s">
        <v>481</v>
      </c>
      <c r="I471">
        <v>1</v>
      </c>
    </row>
    <row r="472" spans="8:9" x14ac:dyDescent="0.25">
      <c r="H472" s="4" t="s">
        <v>482</v>
      </c>
      <c r="I472">
        <v>1</v>
      </c>
    </row>
    <row r="473" spans="8:9" x14ac:dyDescent="0.25">
      <c r="H473" s="4" t="s">
        <v>483</v>
      </c>
      <c r="I473">
        <v>1</v>
      </c>
    </row>
    <row r="474" spans="8:9" x14ac:dyDescent="0.25">
      <c r="H474" s="4" t="s">
        <v>484</v>
      </c>
      <c r="I474">
        <v>1</v>
      </c>
    </row>
    <row r="475" spans="8:9" x14ac:dyDescent="0.25">
      <c r="H475" s="4" t="s">
        <v>485</v>
      </c>
      <c r="I475">
        <v>1</v>
      </c>
    </row>
    <row r="476" spans="8:9" x14ac:dyDescent="0.25">
      <c r="H476" s="4" t="s">
        <v>486</v>
      </c>
      <c r="I476">
        <v>1</v>
      </c>
    </row>
    <row r="477" spans="8:9" x14ac:dyDescent="0.25">
      <c r="H477" s="4" t="s">
        <v>487</v>
      </c>
      <c r="I477">
        <v>1</v>
      </c>
    </row>
    <row r="478" spans="8:9" x14ac:dyDescent="0.25">
      <c r="H478" s="4" t="s">
        <v>488</v>
      </c>
      <c r="I478">
        <v>1</v>
      </c>
    </row>
    <row r="479" spans="8:9" x14ac:dyDescent="0.25">
      <c r="H479" s="4" t="s">
        <v>489</v>
      </c>
      <c r="I479">
        <v>1</v>
      </c>
    </row>
    <row r="480" spans="8:9" x14ac:dyDescent="0.25">
      <c r="H480" s="4" t="s">
        <v>490</v>
      </c>
      <c r="I480">
        <v>1</v>
      </c>
    </row>
    <row r="481" spans="8:9" x14ac:dyDescent="0.25">
      <c r="H481" s="4" t="s">
        <v>491</v>
      </c>
      <c r="I481">
        <v>1</v>
      </c>
    </row>
    <row r="482" spans="8:9" x14ac:dyDescent="0.25">
      <c r="H482" s="4" t="s">
        <v>492</v>
      </c>
      <c r="I482">
        <v>1</v>
      </c>
    </row>
    <row r="483" spans="8:9" x14ac:dyDescent="0.25">
      <c r="H483" s="4" t="s">
        <v>493</v>
      </c>
      <c r="I483">
        <v>1</v>
      </c>
    </row>
    <row r="484" spans="8:9" x14ac:dyDescent="0.25">
      <c r="H484" s="4" t="s">
        <v>494</v>
      </c>
      <c r="I484">
        <v>1</v>
      </c>
    </row>
    <row r="485" spans="8:9" x14ac:dyDescent="0.25">
      <c r="H485" s="4" t="s">
        <v>495</v>
      </c>
      <c r="I485">
        <v>1</v>
      </c>
    </row>
    <row r="486" spans="8:9" x14ac:dyDescent="0.25">
      <c r="H486" s="4" t="s">
        <v>496</v>
      </c>
      <c r="I486">
        <v>1</v>
      </c>
    </row>
    <row r="487" spans="8:9" x14ac:dyDescent="0.25">
      <c r="H487" s="4" t="s">
        <v>497</v>
      </c>
      <c r="I487">
        <v>1</v>
      </c>
    </row>
    <row r="488" spans="8:9" x14ac:dyDescent="0.25">
      <c r="H488" s="4" t="s">
        <v>498</v>
      </c>
      <c r="I488">
        <v>1</v>
      </c>
    </row>
    <row r="489" spans="8:9" x14ac:dyDescent="0.25">
      <c r="H489" s="4" t="s">
        <v>499</v>
      </c>
      <c r="I489">
        <v>1</v>
      </c>
    </row>
    <row r="490" spans="8:9" x14ac:dyDescent="0.25">
      <c r="H490" s="4" t="s">
        <v>500</v>
      </c>
      <c r="I490">
        <v>1</v>
      </c>
    </row>
    <row r="491" spans="8:9" x14ac:dyDescent="0.25">
      <c r="H491" s="4" t="s">
        <v>501</v>
      </c>
      <c r="I491">
        <v>1</v>
      </c>
    </row>
    <row r="492" spans="8:9" x14ac:dyDescent="0.25">
      <c r="H492" s="4" t="s">
        <v>502</v>
      </c>
      <c r="I492">
        <v>1</v>
      </c>
    </row>
    <row r="493" spans="8:9" x14ac:dyDescent="0.25">
      <c r="H493" s="4" t="s">
        <v>503</v>
      </c>
      <c r="I493">
        <v>1</v>
      </c>
    </row>
    <row r="494" spans="8:9" x14ac:dyDescent="0.25">
      <c r="H494" s="4" t="s">
        <v>504</v>
      </c>
      <c r="I494">
        <v>1</v>
      </c>
    </row>
    <row r="495" spans="8:9" x14ac:dyDescent="0.25">
      <c r="H495" s="4" t="s">
        <v>505</v>
      </c>
      <c r="I495">
        <v>1</v>
      </c>
    </row>
    <row r="496" spans="8:9" x14ac:dyDescent="0.25">
      <c r="H496" s="4" t="s">
        <v>506</v>
      </c>
      <c r="I496">
        <v>1</v>
      </c>
    </row>
    <row r="497" spans="8:9" x14ac:dyDescent="0.25">
      <c r="H497" s="4" t="s">
        <v>507</v>
      </c>
      <c r="I497">
        <v>1</v>
      </c>
    </row>
    <row r="498" spans="8:9" x14ac:dyDescent="0.25">
      <c r="H498" s="4" t="s">
        <v>508</v>
      </c>
      <c r="I498">
        <v>1</v>
      </c>
    </row>
    <row r="499" spans="8:9" x14ac:dyDescent="0.25">
      <c r="H499" s="4" t="s">
        <v>509</v>
      </c>
      <c r="I499">
        <v>1</v>
      </c>
    </row>
    <row r="500" spans="8:9" x14ac:dyDescent="0.25">
      <c r="H500" s="4" t="s">
        <v>510</v>
      </c>
      <c r="I500">
        <v>1</v>
      </c>
    </row>
    <row r="501" spans="8:9" x14ac:dyDescent="0.25">
      <c r="H501" s="4" t="s">
        <v>511</v>
      </c>
      <c r="I501">
        <v>1</v>
      </c>
    </row>
    <row r="502" spans="8:9" x14ac:dyDescent="0.25">
      <c r="H502" s="4" t="s">
        <v>512</v>
      </c>
      <c r="I502">
        <v>1</v>
      </c>
    </row>
    <row r="503" spans="8:9" x14ac:dyDescent="0.25">
      <c r="H503" s="4" t="s">
        <v>513</v>
      </c>
      <c r="I503">
        <v>1</v>
      </c>
    </row>
    <row r="504" spans="8:9" x14ac:dyDescent="0.25">
      <c r="H504" s="4" t="s">
        <v>514</v>
      </c>
      <c r="I504">
        <v>1</v>
      </c>
    </row>
    <row r="505" spans="8:9" x14ac:dyDescent="0.25">
      <c r="H505" s="4" t="s">
        <v>515</v>
      </c>
      <c r="I505">
        <v>1</v>
      </c>
    </row>
    <row r="506" spans="8:9" x14ac:dyDescent="0.25">
      <c r="H506" s="4" t="s">
        <v>516</v>
      </c>
      <c r="I506">
        <v>1</v>
      </c>
    </row>
    <row r="507" spans="8:9" x14ac:dyDescent="0.25">
      <c r="H507" s="4" t="s">
        <v>517</v>
      </c>
      <c r="I507">
        <v>1</v>
      </c>
    </row>
    <row r="508" spans="8:9" x14ac:dyDescent="0.25">
      <c r="H508" s="4" t="s">
        <v>518</v>
      </c>
      <c r="I508">
        <v>1</v>
      </c>
    </row>
    <row r="509" spans="8:9" x14ac:dyDescent="0.25">
      <c r="H509" s="4" t="s">
        <v>519</v>
      </c>
      <c r="I509">
        <v>1</v>
      </c>
    </row>
    <row r="510" spans="8:9" x14ac:dyDescent="0.25">
      <c r="H510" s="4" t="s">
        <v>520</v>
      </c>
      <c r="I510">
        <v>1</v>
      </c>
    </row>
    <row r="511" spans="8:9" x14ac:dyDescent="0.25">
      <c r="H511" s="4" t="s">
        <v>521</v>
      </c>
      <c r="I511">
        <v>1</v>
      </c>
    </row>
    <row r="512" spans="8:9" x14ac:dyDescent="0.25">
      <c r="H512" s="4" t="s">
        <v>522</v>
      </c>
      <c r="I512">
        <v>1</v>
      </c>
    </row>
    <row r="513" spans="8:9" x14ac:dyDescent="0.25">
      <c r="H513" s="4" t="s">
        <v>523</v>
      </c>
      <c r="I513">
        <v>1</v>
      </c>
    </row>
    <row r="514" spans="8:9" x14ac:dyDescent="0.25">
      <c r="H514" s="4" t="s">
        <v>524</v>
      </c>
      <c r="I514">
        <v>1</v>
      </c>
    </row>
    <row r="515" spans="8:9" x14ac:dyDescent="0.25">
      <c r="H515" s="4" t="s">
        <v>525</v>
      </c>
      <c r="I515">
        <v>1</v>
      </c>
    </row>
    <row r="516" spans="8:9" x14ac:dyDescent="0.25">
      <c r="H516" s="4" t="s">
        <v>526</v>
      </c>
      <c r="I516">
        <v>1</v>
      </c>
    </row>
    <row r="517" spans="8:9" x14ac:dyDescent="0.25">
      <c r="H517" s="4" t="s">
        <v>527</v>
      </c>
      <c r="I517">
        <v>1</v>
      </c>
    </row>
    <row r="518" spans="8:9" x14ac:dyDescent="0.25">
      <c r="H518" s="4" t="s">
        <v>528</v>
      </c>
      <c r="I518">
        <v>1</v>
      </c>
    </row>
    <row r="519" spans="8:9" x14ac:dyDescent="0.25">
      <c r="H519" s="4" t="s">
        <v>529</v>
      </c>
      <c r="I519">
        <v>1</v>
      </c>
    </row>
    <row r="520" spans="8:9" x14ac:dyDescent="0.25">
      <c r="H520" s="4" t="s">
        <v>530</v>
      </c>
      <c r="I520">
        <v>1</v>
      </c>
    </row>
    <row r="521" spans="8:9" x14ac:dyDescent="0.25">
      <c r="H521" s="4" t="s">
        <v>531</v>
      </c>
      <c r="I521">
        <v>1</v>
      </c>
    </row>
    <row r="522" spans="8:9" x14ac:dyDescent="0.25">
      <c r="H522" s="4" t="s">
        <v>532</v>
      </c>
      <c r="I522">
        <v>1</v>
      </c>
    </row>
    <row r="523" spans="8:9" x14ac:dyDescent="0.25">
      <c r="H523" s="4" t="s">
        <v>533</v>
      </c>
      <c r="I523">
        <v>1</v>
      </c>
    </row>
    <row r="524" spans="8:9" x14ac:dyDescent="0.25">
      <c r="H524" s="4" t="s">
        <v>534</v>
      </c>
      <c r="I524">
        <v>1</v>
      </c>
    </row>
    <row r="525" spans="8:9" x14ac:dyDescent="0.25">
      <c r="H525" s="4" t="s">
        <v>535</v>
      </c>
      <c r="I525">
        <v>1</v>
      </c>
    </row>
    <row r="526" spans="8:9" x14ac:dyDescent="0.25">
      <c r="H526" s="4" t="s">
        <v>536</v>
      </c>
      <c r="I526">
        <v>1</v>
      </c>
    </row>
    <row r="527" spans="8:9" x14ac:dyDescent="0.25">
      <c r="H527" s="4" t="s">
        <v>537</v>
      </c>
      <c r="I527">
        <v>1</v>
      </c>
    </row>
    <row r="528" spans="8:9" x14ac:dyDescent="0.25">
      <c r="H528" s="4" t="s">
        <v>538</v>
      </c>
      <c r="I528">
        <v>1</v>
      </c>
    </row>
    <row r="529" spans="8:9" x14ac:dyDescent="0.25">
      <c r="H529" s="4" t="s">
        <v>539</v>
      </c>
      <c r="I529">
        <v>1</v>
      </c>
    </row>
    <row r="530" spans="8:9" x14ac:dyDescent="0.25">
      <c r="H530" s="4" t="s">
        <v>540</v>
      </c>
      <c r="I530">
        <v>1</v>
      </c>
    </row>
    <row r="531" spans="8:9" x14ac:dyDescent="0.25">
      <c r="H531" s="4" t="s">
        <v>541</v>
      </c>
      <c r="I531">
        <v>1</v>
      </c>
    </row>
    <row r="532" spans="8:9" x14ac:dyDescent="0.25">
      <c r="H532" s="4" t="s">
        <v>542</v>
      </c>
      <c r="I532">
        <v>1</v>
      </c>
    </row>
    <row r="533" spans="8:9" x14ac:dyDescent="0.25">
      <c r="H533" s="4" t="s">
        <v>543</v>
      </c>
      <c r="I533">
        <v>1</v>
      </c>
    </row>
    <row r="534" spans="8:9" x14ac:dyDescent="0.25">
      <c r="H534" s="4" t="s">
        <v>544</v>
      </c>
      <c r="I534">
        <v>1</v>
      </c>
    </row>
    <row r="535" spans="8:9" x14ac:dyDescent="0.25">
      <c r="H535" s="4" t="s">
        <v>545</v>
      </c>
      <c r="I535">
        <v>1</v>
      </c>
    </row>
    <row r="536" spans="8:9" x14ac:dyDescent="0.25">
      <c r="H536" s="4" t="s">
        <v>546</v>
      </c>
      <c r="I536">
        <v>1</v>
      </c>
    </row>
    <row r="537" spans="8:9" x14ac:dyDescent="0.25">
      <c r="H537" s="4" t="s">
        <v>547</v>
      </c>
      <c r="I537">
        <v>1</v>
      </c>
    </row>
    <row r="538" spans="8:9" x14ac:dyDescent="0.25">
      <c r="H538" s="4" t="s">
        <v>548</v>
      </c>
      <c r="I538">
        <v>1</v>
      </c>
    </row>
    <row r="539" spans="8:9" x14ac:dyDescent="0.25">
      <c r="H539" s="4" t="s">
        <v>549</v>
      </c>
      <c r="I539">
        <v>1</v>
      </c>
    </row>
    <row r="540" spans="8:9" x14ac:dyDescent="0.25">
      <c r="H540" s="4" t="s">
        <v>550</v>
      </c>
      <c r="I540">
        <v>1</v>
      </c>
    </row>
    <row r="541" spans="8:9" x14ac:dyDescent="0.25">
      <c r="H541" s="4" t="s">
        <v>551</v>
      </c>
      <c r="I541">
        <v>1</v>
      </c>
    </row>
    <row r="542" spans="8:9" x14ac:dyDescent="0.25">
      <c r="H542" s="4" t="s">
        <v>552</v>
      </c>
      <c r="I542">
        <v>1</v>
      </c>
    </row>
    <row r="543" spans="8:9" x14ac:dyDescent="0.25">
      <c r="H543" s="4" t="s">
        <v>553</v>
      </c>
      <c r="I543">
        <v>1</v>
      </c>
    </row>
    <row r="544" spans="8:9" x14ac:dyDescent="0.25">
      <c r="H544" s="4" t="s">
        <v>554</v>
      </c>
      <c r="I544">
        <v>1</v>
      </c>
    </row>
    <row r="545" spans="8:9" x14ac:dyDescent="0.25">
      <c r="H545" s="4" t="s">
        <v>555</v>
      </c>
      <c r="I545">
        <v>1</v>
      </c>
    </row>
    <row r="546" spans="8:9" x14ac:dyDescent="0.25">
      <c r="H546" s="4" t="s">
        <v>556</v>
      </c>
      <c r="I546">
        <v>1</v>
      </c>
    </row>
    <row r="547" spans="8:9" x14ac:dyDescent="0.25">
      <c r="H547" s="4" t="s">
        <v>557</v>
      </c>
      <c r="I547">
        <v>1</v>
      </c>
    </row>
    <row r="548" spans="8:9" x14ac:dyDescent="0.25">
      <c r="H548" s="4" t="s">
        <v>558</v>
      </c>
      <c r="I548">
        <v>1</v>
      </c>
    </row>
    <row r="549" spans="8:9" x14ac:dyDescent="0.25">
      <c r="H549" s="4" t="s">
        <v>559</v>
      </c>
      <c r="I549">
        <v>1</v>
      </c>
    </row>
    <row r="550" spans="8:9" x14ac:dyDescent="0.25">
      <c r="H550" s="4" t="s">
        <v>560</v>
      </c>
      <c r="I550">
        <v>1</v>
      </c>
    </row>
    <row r="551" spans="8:9" x14ac:dyDescent="0.25">
      <c r="H551" s="4" t="s">
        <v>561</v>
      </c>
      <c r="I551">
        <v>1</v>
      </c>
    </row>
    <row r="552" spans="8:9" x14ac:dyDescent="0.25">
      <c r="H552" s="4" t="s">
        <v>562</v>
      </c>
      <c r="I552">
        <v>1</v>
      </c>
    </row>
    <row r="553" spans="8:9" x14ac:dyDescent="0.25">
      <c r="H553" s="4" t="s">
        <v>563</v>
      </c>
      <c r="I553">
        <v>1</v>
      </c>
    </row>
    <row r="554" spans="8:9" x14ac:dyDescent="0.25">
      <c r="H554" s="4" t="s">
        <v>564</v>
      </c>
      <c r="I554">
        <v>1</v>
      </c>
    </row>
    <row r="555" spans="8:9" x14ac:dyDescent="0.25">
      <c r="H555" s="4" t="s">
        <v>565</v>
      </c>
      <c r="I555">
        <v>1</v>
      </c>
    </row>
    <row r="556" spans="8:9" x14ac:dyDescent="0.25">
      <c r="H556" s="4" t="s">
        <v>566</v>
      </c>
      <c r="I556">
        <v>1</v>
      </c>
    </row>
    <row r="557" spans="8:9" x14ac:dyDescent="0.25">
      <c r="H557" s="4" t="s">
        <v>567</v>
      </c>
      <c r="I557">
        <v>1</v>
      </c>
    </row>
    <row r="558" spans="8:9" x14ac:dyDescent="0.25">
      <c r="H558" s="4" t="s">
        <v>568</v>
      </c>
      <c r="I558">
        <v>1</v>
      </c>
    </row>
    <row r="559" spans="8:9" x14ac:dyDescent="0.25">
      <c r="H559" s="4" t="s">
        <v>569</v>
      </c>
      <c r="I559">
        <v>1</v>
      </c>
    </row>
    <row r="560" spans="8:9" x14ac:dyDescent="0.25">
      <c r="H560" s="4" t="s">
        <v>570</v>
      </c>
      <c r="I560">
        <v>1</v>
      </c>
    </row>
    <row r="561" spans="8:9" x14ac:dyDescent="0.25">
      <c r="H561" s="4" t="s">
        <v>571</v>
      </c>
      <c r="I561">
        <v>1</v>
      </c>
    </row>
    <row r="562" spans="8:9" x14ac:dyDescent="0.25">
      <c r="H562" s="4" t="s">
        <v>572</v>
      </c>
      <c r="I562">
        <v>1</v>
      </c>
    </row>
    <row r="563" spans="8:9" x14ac:dyDescent="0.25">
      <c r="H563" s="4" t="s">
        <v>573</v>
      </c>
      <c r="I563">
        <v>1</v>
      </c>
    </row>
    <row r="564" spans="8:9" x14ac:dyDescent="0.25">
      <c r="H564" s="4" t="s">
        <v>574</v>
      </c>
      <c r="I564">
        <v>1</v>
      </c>
    </row>
    <row r="565" spans="8:9" x14ac:dyDescent="0.25">
      <c r="H565" s="4" t="s">
        <v>575</v>
      </c>
      <c r="I565">
        <v>1</v>
      </c>
    </row>
    <row r="566" spans="8:9" x14ac:dyDescent="0.25">
      <c r="H566" s="4" t="s">
        <v>576</v>
      </c>
      <c r="I566">
        <v>1</v>
      </c>
    </row>
    <row r="567" spans="8:9" x14ac:dyDescent="0.25">
      <c r="H567" s="4" t="s">
        <v>577</v>
      </c>
      <c r="I567">
        <v>1</v>
      </c>
    </row>
    <row r="568" spans="8:9" x14ac:dyDescent="0.25">
      <c r="H568" s="4" t="s">
        <v>578</v>
      </c>
      <c r="I568">
        <v>1</v>
      </c>
    </row>
    <row r="569" spans="8:9" x14ac:dyDescent="0.25">
      <c r="H569" s="4" t="s">
        <v>579</v>
      </c>
      <c r="I569">
        <v>1</v>
      </c>
    </row>
    <row r="570" spans="8:9" x14ac:dyDescent="0.25">
      <c r="H570" s="4" t="s">
        <v>580</v>
      </c>
      <c r="I570">
        <v>1</v>
      </c>
    </row>
    <row r="571" spans="8:9" x14ac:dyDescent="0.25">
      <c r="H571" s="4" t="s">
        <v>581</v>
      </c>
      <c r="I571">
        <v>1</v>
      </c>
    </row>
    <row r="572" spans="8:9" x14ac:dyDescent="0.25">
      <c r="H572" s="4" t="s">
        <v>582</v>
      </c>
      <c r="I572">
        <v>1</v>
      </c>
    </row>
    <row r="573" spans="8:9" x14ac:dyDescent="0.25">
      <c r="H573" s="4" t="s">
        <v>583</v>
      </c>
      <c r="I573">
        <v>1</v>
      </c>
    </row>
    <row r="574" spans="8:9" x14ac:dyDescent="0.25">
      <c r="H574" s="4" t="s">
        <v>584</v>
      </c>
      <c r="I574">
        <v>1</v>
      </c>
    </row>
    <row r="575" spans="8:9" x14ac:dyDescent="0.25">
      <c r="H575" s="4" t="s">
        <v>585</v>
      </c>
      <c r="I575">
        <v>1</v>
      </c>
    </row>
    <row r="576" spans="8:9" x14ac:dyDescent="0.25">
      <c r="H576" s="4" t="s">
        <v>586</v>
      </c>
      <c r="I576">
        <v>1</v>
      </c>
    </row>
    <row r="577" spans="8:9" x14ac:dyDescent="0.25">
      <c r="H577" s="4" t="s">
        <v>587</v>
      </c>
      <c r="I577">
        <v>1</v>
      </c>
    </row>
    <row r="578" spans="8:9" x14ac:dyDescent="0.25">
      <c r="H578" s="4" t="s">
        <v>588</v>
      </c>
      <c r="I578">
        <v>1</v>
      </c>
    </row>
    <row r="579" spans="8:9" x14ac:dyDescent="0.25">
      <c r="H579" s="4" t="s">
        <v>589</v>
      </c>
      <c r="I579">
        <v>1</v>
      </c>
    </row>
    <row r="580" spans="8:9" x14ac:dyDescent="0.25">
      <c r="H580" s="4" t="s">
        <v>590</v>
      </c>
      <c r="I580">
        <v>1</v>
      </c>
    </row>
    <row r="581" spans="8:9" x14ac:dyDescent="0.25">
      <c r="H581" s="4" t="s">
        <v>591</v>
      </c>
      <c r="I581">
        <v>1</v>
      </c>
    </row>
    <row r="582" spans="8:9" x14ac:dyDescent="0.25">
      <c r="H582" s="4" t="s">
        <v>592</v>
      </c>
      <c r="I582">
        <v>1</v>
      </c>
    </row>
    <row r="583" spans="8:9" x14ac:dyDescent="0.25">
      <c r="H583" s="4" t="s">
        <v>593</v>
      </c>
      <c r="I583">
        <v>1</v>
      </c>
    </row>
    <row r="584" spans="8:9" x14ac:dyDescent="0.25">
      <c r="H584" s="4" t="s">
        <v>594</v>
      </c>
      <c r="I584">
        <v>1</v>
      </c>
    </row>
    <row r="585" spans="8:9" x14ac:dyDescent="0.25">
      <c r="H585" s="4" t="s">
        <v>595</v>
      </c>
      <c r="I585">
        <v>1</v>
      </c>
    </row>
    <row r="586" spans="8:9" x14ac:dyDescent="0.25">
      <c r="H586" s="4" t="s">
        <v>596</v>
      </c>
      <c r="I586">
        <v>1</v>
      </c>
    </row>
    <row r="587" spans="8:9" x14ac:dyDescent="0.25">
      <c r="H587" s="4" t="s">
        <v>597</v>
      </c>
      <c r="I587">
        <v>1</v>
      </c>
    </row>
    <row r="588" spans="8:9" x14ac:dyDescent="0.25">
      <c r="H588" s="4" t="s">
        <v>598</v>
      </c>
      <c r="I588">
        <v>1</v>
      </c>
    </row>
    <row r="589" spans="8:9" x14ac:dyDescent="0.25">
      <c r="H589" s="4" t="s">
        <v>599</v>
      </c>
      <c r="I589">
        <v>1</v>
      </c>
    </row>
    <row r="590" spans="8:9" x14ac:dyDescent="0.25">
      <c r="H590" s="4" t="s">
        <v>600</v>
      </c>
      <c r="I590">
        <v>1</v>
      </c>
    </row>
    <row r="591" spans="8:9" x14ac:dyDescent="0.25">
      <c r="H591" s="4" t="s">
        <v>601</v>
      </c>
      <c r="I591">
        <v>1</v>
      </c>
    </row>
    <row r="592" spans="8:9" x14ac:dyDescent="0.25">
      <c r="H592" s="4" t="s">
        <v>602</v>
      </c>
      <c r="I592">
        <v>1</v>
      </c>
    </row>
    <row r="593" spans="8:9" x14ac:dyDescent="0.25">
      <c r="H593" s="4" t="s">
        <v>603</v>
      </c>
      <c r="I593">
        <v>1</v>
      </c>
    </row>
    <row r="594" spans="8:9" x14ac:dyDescent="0.25">
      <c r="H594" s="4" t="s">
        <v>604</v>
      </c>
      <c r="I594">
        <v>1</v>
      </c>
    </row>
    <row r="595" spans="8:9" x14ac:dyDescent="0.25">
      <c r="H595" s="4" t="s">
        <v>605</v>
      </c>
      <c r="I595">
        <v>1</v>
      </c>
    </row>
    <row r="596" spans="8:9" x14ac:dyDescent="0.25">
      <c r="H596" s="4" t="s">
        <v>606</v>
      </c>
      <c r="I596">
        <v>1</v>
      </c>
    </row>
    <row r="597" spans="8:9" x14ac:dyDescent="0.25">
      <c r="H597" s="4" t="s">
        <v>607</v>
      </c>
      <c r="I597">
        <v>1</v>
      </c>
    </row>
    <row r="598" spans="8:9" x14ac:dyDescent="0.25">
      <c r="H598" s="4" t="s">
        <v>608</v>
      </c>
      <c r="I598">
        <v>1</v>
      </c>
    </row>
    <row r="599" spans="8:9" x14ac:dyDescent="0.25">
      <c r="H599" s="4" t="s">
        <v>609</v>
      </c>
      <c r="I599">
        <v>1</v>
      </c>
    </row>
    <row r="600" spans="8:9" x14ac:dyDescent="0.25">
      <c r="H600" s="4" t="s">
        <v>610</v>
      </c>
      <c r="I600">
        <v>1</v>
      </c>
    </row>
    <row r="601" spans="8:9" x14ac:dyDescent="0.25">
      <c r="H601" s="4" t="s">
        <v>611</v>
      </c>
      <c r="I601">
        <v>1</v>
      </c>
    </row>
    <row r="602" spans="8:9" x14ac:dyDescent="0.25">
      <c r="H602" s="4" t="s">
        <v>612</v>
      </c>
      <c r="I602">
        <v>1</v>
      </c>
    </row>
    <row r="603" spans="8:9" x14ac:dyDescent="0.25">
      <c r="H603" s="4" t="s">
        <v>613</v>
      </c>
      <c r="I603">
        <v>1</v>
      </c>
    </row>
    <row r="604" spans="8:9" x14ac:dyDescent="0.25">
      <c r="H604" s="4" t="s">
        <v>614</v>
      </c>
      <c r="I604">
        <v>1</v>
      </c>
    </row>
    <row r="605" spans="8:9" x14ac:dyDescent="0.25">
      <c r="H605" s="4" t="s">
        <v>615</v>
      </c>
      <c r="I605">
        <v>1</v>
      </c>
    </row>
    <row r="606" spans="8:9" x14ac:dyDescent="0.25">
      <c r="H606" s="4" t="s">
        <v>616</v>
      </c>
      <c r="I606">
        <v>1</v>
      </c>
    </row>
    <row r="607" spans="8:9" x14ac:dyDescent="0.25">
      <c r="H607" s="4" t="s">
        <v>617</v>
      </c>
      <c r="I607">
        <v>1</v>
      </c>
    </row>
    <row r="608" spans="8:9" x14ac:dyDescent="0.25">
      <c r="H608" s="4" t="s">
        <v>618</v>
      </c>
      <c r="I608">
        <v>1</v>
      </c>
    </row>
    <row r="609" spans="8:9" x14ac:dyDescent="0.25">
      <c r="H609" s="4" t="s">
        <v>619</v>
      </c>
      <c r="I609">
        <v>1</v>
      </c>
    </row>
    <row r="610" spans="8:9" x14ac:dyDescent="0.25">
      <c r="H610" s="4" t="s">
        <v>620</v>
      </c>
      <c r="I610">
        <v>1</v>
      </c>
    </row>
    <row r="611" spans="8:9" x14ac:dyDescent="0.25">
      <c r="H611" s="4" t="s">
        <v>621</v>
      </c>
      <c r="I611">
        <v>1</v>
      </c>
    </row>
    <row r="612" spans="8:9" x14ac:dyDescent="0.25">
      <c r="H612" s="4" t="s">
        <v>622</v>
      </c>
      <c r="I612">
        <v>1</v>
      </c>
    </row>
    <row r="613" spans="8:9" x14ac:dyDescent="0.25">
      <c r="H613" s="4" t="s">
        <v>623</v>
      </c>
      <c r="I613">
        <v>1</v>
      </c>
    </row>
    <row r="614" spans="8:9" x14ac:dyDescent="0.25">
      <c r="H614" s="4" t="s">
        <v>624</v>
      </c>
      <c r="I614">
        <v>1</v>
      </c>
    </row>
    <row r="615" spans="8:9" x14ac:dyDescent="0.25">
      <c r="H615" s="4" t="s">
        <v>625</v>
      </c>
      <c r="I615">
        <v>1</v>
      </c>
    </row>
    <row r="616" spans="8:9" x14ac:dyDescent="0.25">
      <c r="H616" s="4" t="s">
        <v>626</v>
      </c>
      <c r="I616">
        <v>1</v>
      </c>
    </row>
    <row r="617" spans="8:9" x14ac:dyDescent="0.25">
      <c r="H617" s="4" t="s">
        <v>627</v>
      </c>
      <c r="I617">
        <v>1</v>
      </c>
    </row>
    <row r="618" spans="8:9" x14ac:dyDescent="0.25">
      <c r="H618" s="4" t="s">
        <v>628</v>
      </c>
      <c r="I618">
        <v>1</v>
      </c>
    </row>
    <row r="619" spans="8:9" x14ac:dyDescent="0.25">
      <c r="H619" s="4" t="s">
        <v>629</v>
      </c>
      <c r="I619">
        <v>1</v>
      </c>
    </row>
    <row r="620" spans="8:9" x14ac:dyDescent="0.25">
      <c r="H620" s="4" t="s">
        <v>630</v>
      </c>
      <c r="I620">
        <v>1</v>
      </c>
    </row>
    <row r="621" spans="8:9" x14ac:dyDescent="0.25">
      <c r="H621" s="4" t="s">
        <v>631</v>
      </c>
      <c r="I621">
        <v>1</v>
      </c>
    </row>
    <row r="622" spans="8:9" x14ac:dyDescent="0.25">
      <c r="H622" s="4" t="s">
        <v>632</v>
      </c>
      <c r="I622">
        <v>1</v>
      </c>
    </row>
    <row r="623" spans="8:9" x14ac:dyDescent="0.25">
      <c r="H623" s="4" t="s">
        <v>633</v>
      </c>
      <c r="I623">
        <v>1</v>
      </c>
    </row>
    <row r="624" spans="8:9" x14ac:dyDescent="0.25">
      <c r="H624" s="4" t="s">
        <v>634</v>
      </c>
      <c r="I624">
        <v>1</v>
      </c>
    </row>
    <row r="625" spans="8:9" x14ac:dyDescent="0.25">
      <c r="H625" s="4" t="s">
        <v>635</v>
      </c>
      <c r="I625">
        <v>1</v>
      </c>
    </row>
    <row r="626" spans="8:9" x14ac:dyDescent="0.25">
      <c r="H626" s="4" t="s">
        <v>636</v>
      </c>
      <c r="I626">
        <v>1</v>
      </c>
    </row>
    <row r="627" spans="8:9" x14ac:dyDescent="0.25">
      <c r="H627" s="4" t="s">
        <v>637</v>
      </c>
      <c r="I627">
        <v>1</v>
      </c>
    </row>
    <row r="628" spans="8:9" x14ac:dyDescent="0.25">
      <c r="H628" s="4" t="s">
        <v>638</v>
      </c>
      <c r="I628">
        <v>1</v>
      </c>
    </row>
    <row r="629" spans="8:9" x14ac:dyDescent="0.25">
      <c r="H629" s="4" t="s">
        <v>639</v>
      </c>
      <c r="I629">
        <v>1</v>
      </c>
    </row>
    <row r="630" spans="8:9" x14ac:dyDescent="0.25">
      <c r="H630" s="4" t="s">
        <v>640</v>
      </c>
      <c r="I630">
        <v>1</v>
      </c>
    </row>
    <row r="631" spans="8:9" x14ac:dyDescent="0.25">
      <c r="H631" s="4" t="s">
        <v>641</v>
      </c>
      <c r="I631">
        <v>1</v>
      </c>
    </row>
    <row r="632" spans="8:9" x14ac:dyDescent="0.25">
      <c r="H632" s="4" t="s">
        <v>642</v>
      </c>
      <c r="I632">
        <v>1</v>
      </c>
    </row>
    <row r="633" spans="8:9" x14ac:dyDescent="0.25">
      <c r="H633" s="4" t="s">
        <v>643</v>
      </c>
      <c r="I633">
        <v>1</v>
      </c>
    </row>
    <row r="634" spans="8:9" x14ac:dyDescent="0.25">
      <c r="H634" s="4" t="s">
        <v>644</v>
      </c>
      <c r="I634">
        <v>1</v>
      </c>
    </row>
    <row r="635" spans="8:9" x14ac:dyDescent="0.25">
      <c r="H635" s="4" t="s">
        <v>645</v>
      </c>
      <c r="I635">
        <v>1</v>
      </c>
    </row>
    <row r="636" spans="8:9" x14ac:dyDescent="0.25">
      <c r="H636" s="4" t="s">
        <v>646</v>
      </c>
      <c r="I636">
        <v>1</v>
      </c>
    </row>
    <row r="637" spans="8:9" x14ac:dyDescent="0.25">
      <c r="H637" s="4" t="s">
        <v>647</v>
      </c>
      <c r="I637">
        <v>1</v>
      </c>
    </row>
    <row r="638" spans="8:9" x14ac:dyDescent="0.25">
      <c r="H638" s="4" t="s">
        <v>648</v>
      </c>
      <c r="I638">
        <v>1</v>
      </c>
    </row>
    <row r="639" spans="8:9" x14ac:dyDescent="0.25">
      <c r="H639" s="4" t="s">
        <v>649</v>
      </c>
      <c r="I639">
        <v>1</v>
      </c>
    </row>
    <row r="640" spans="8:9" x14ac:dyDescent="0.25">
      <c r="H640" s="4" t="s">
        <v>650</v>
      </c>
      <c r="I640">
        <v>1</v>
      </c>
    </row>
    <row r="641" spans="8:9" x14ac:dyDescent="0.25">
      <c r="H641" s="4" t="s">
        <v>651</v>
      </c>
      <c r="I641">
        <v>1</v>
      </c>
    </row>
    <row r="642" spans="8:9" x14ac:dyDescent="0.25">
      <c r="H642" s="4" t="s">
        <v>652</v>
      </c>
      <c r="I642">
        <v>1</v>
      </c>
    </row>
    <row r="643" spans="8:9" x14ac:dyDescent="0.25">
      <c r="H643" s="4" t="s">
        <v>653</v>
      </c>
      <c r="I643">
        <v>1</v>
      </c>
    </row>
    <row r="644" spans="8:9" x14ac:dyDescent="0.25">
      <c r="H644" s="4" t="s">
        <v>654</v>
      </c>
      <c r="I644">
        <v>1</v>
      </c>
    </row>
    <row r="645" spans="8:9" x14ac:dyDescent="0.25">
      <c r="H645" s="4" t="s">
        <v>655</v>
      </c>
      <c r="I645">
        <v>1</v>
      </c>
    </row>
    <row r="646" spans="8:9" x14ac:dyDescent="0.25">
      <c r="H646" s="4" t="s">
        <v>656</v>
      </c>
      <c r="I646">
        <v>1</v>
      </c>
    </row>
    <row r="647" spans="8:9" x14ac:dyDescent="0.25">
      <c r="H647" s="4" t="s">
        <v>657</v>
      </c>
      <c r="I647">
        <v>1</v>
      </c>
    </row>
    <row r="648" spans="8:9" x14ac:dyDescent="0.25">
      <c r="H648" s="4" t="s">
        <v>658</v>
      </c>
      <c r="I648">
        <v>1</v>
      </c>
    </row>
    <row r="649" spans="8:9" x14ac:dyDescent="0.25">
      <c r="H649" s="4" t="s">
        <v>659</v>
      </c>
      <c r="I649">
        <v>1</v>
      </c>
    </row>
    <row r="650" spans="8:9" x14ac:dyDescent="0.25">
      <c r="H650" s="4" t="s">
        <v>660</v>
      </c>
      <c r="I650">
        <v>1</v>
      </c>
    </row>
    <row r="651" spans="8:9" x14ac:dyDescent="0.25">
      <c r="H651" s="4" t="s">
        <v>661</v>
      </c>
      <c r="I651">
        <v>1</v>
      </c>
    </row>
    <row r="652" spans="8:9" x14ac:dyDescent="0.25">
      <c r="H652" s="4" t="s">
        <v>662</v>
      </c>
      <c r="I652">
        <v>1</v>
      </c>
    </row>
    <row r="653" spans="8:9" x14ac:dyDescent="0.25">
      <c r="H653" s="4" t="s">
        <v>663</v>
      </c>
      <c r="I653">
        <v>1</v>
      </c>
    </row>
    <row r="654" spans="8:9" x14ac:dyDescent="0.25">
      <c r="H654" s="4" t="s">
        <v>664</v>
      </c>
      <c r="I654">
        <v>1</v>
      </c>
    </row>
    <row r="655" spans="8:9" x14ac:dyDescent="0.25">
      <c r="H655" s="4" t="s">
        <v>665</v>
      </c>
      <c r="I655">
        <v>1</v>
      </c>
    </row>
    <row r="656" spans="8:9" x14ac:dyDescent="0.25">
      <c r="H656" s="4" t="s">
        <v>666</v>
      </c>
      <c r="I656">
        <v>1</v>
      </c>
    </row>
    <row r="657" spans="8:9" x14ac:dyDescent="0.25">
      <c r="H657" s="4" t="s">
        <v>667</v>
      </c>
      <c r="I657">
        <v>1</v>
      </c>
    </row>
    <row r="658" spans="8:9" x14ac:dyDescent="0.25">
      <c r="H658" s="4" t="s">
        <v>668</v>
      </c>
      <c r="I658">
        <v>1</v>
      </c>
    </row>
    <row r="659" spans="8:9" x14ac:dyDescent="0.25">
      <c r="H659" s="4" t="s">
        <v>669</v>
      </c>
      <c r="I659">
        <v>1</v>
      </c>
    </row>
    <row r="660" spans="8:9" x14ac:dyDescent="0.25">
      <c r="H660" s="4" t="s">
        <v>670</v>
      </c>
      <c r="I660">
        <v>1</v>
      </c>
    </row>
    <row r="661" spans="8:9" x14ac:dyDescent="0.25">
      <c r="H661" s="4" t="s">
        <v>671</v>
      </c>
      <c r="I661">
        <v>1</v>
      </c>
    </row>
    <row r="662" spans="8:9" x14ac:dyDescent="0.25">
      <c r="H662" s="4" t="s">
        <v>672</v>
      </c>
      <c r="I662">
        <v>1</v>
      </c>
    </row>
    <row r="663" spans="8:9" x14ac:dyDescent="0.25">
      <c r="H663" s="4" t="s">
        <v>673</v>
      </c>
      <c r="I663">
        <v>1</v>
      </c>
    </row>
    <row r="664" spans="8:9" x14ac:dyDescent="0.25">
      <c r="H664" s="4" t="s">
        <v>674</v>
      </c>
      <c r="I664">
        <v>1</v>
      </c>
    </row>
    <row r="665" spans="8:9" x14ac:dyDescent="0.25">
      <c r="H665" s="4" t="s">
        <v>675</v>
      </c>
      <c r="I665">
        <v>1</v>
      </c>
    </row>
    <row r="666" spans="8:9" x14ac:dyDescent="0.25">
      <c r="H666" s="4" t="s">
        <v>676</v>
      </c>
      <c r="I666">
        <v>1</v>
      </c>
    </row>
    <row r="667" spans="8:9" x14ac:dyDescent="0.25">
      <c r="H667" s="4" t="s">
        <v>677</v>
      </c>
      <c r="I667">
        <v>1</v>
      </c>
    </row>
    <row r="668" spans="8:9" x14ac:dyDescent="0.25">
      <c r="H668" s="4" t="s">
        <v>678</v>
      </c>
      <c r="I668">
        <v>1</v>
      </c>
    </row>
    <row r="669" spans="8:9" x14ac:dyDescent="0.25">
      <c r="H669" s="4" t="s">
        <v>679</v>
      </c>
      <c r="I669">
        <v>1</v>
      </c>
    </row>
    <row r="670" spans="8:9" x14ac:dyDescent="0.25">
      <c r="H670" s="4" t="s">
        <v>680</v>
      </c>
      <c r="I670">
        <v>1</v>
      </c>
    </row>
    <row r="671" spans="8:9" x14ac:dyDescent="0.25">
      <c r="H671" s="4" t="s">
        <v>681</v>
      </c>
      <c r="I671">
        <v>1</v>
      </c>
    </row>
    <row r="672" spans="8:9" x14ac:dyDescent="0.25">
      <c r="H672" s="4" t="s">
        <v>682</v>
      </c>
      <c r="I672">
        <v>1</v>
      </c>
    </row>
    <row r="673" spans="8:9" x14ac:dyDescent="0.25">
      <c r="H673" s="4" t="s">
        <v>683</v>
      </c>
      <c r="I673">
        <v>1</v>
      </c>
    </row>
    <row r="674" spans="8:9" x14ac:dyDescent="0.25">
      <c r="H674" s="4" t="s">
        <v>684</v>
      </c>
      <c r="I674">
        <v>1</v>
      </c>
    </row>
    <row r="675" spans="8:9" x14ac:dyDescent="0.25">
      <c r="H675" s="4" t="s">
        <v>685</v>
      </c>
      <c r="I675">
        <v>1</v>
      </c>
    </row>
    <row r="676" spans="8:9" x14ac:dyDescent="0.25">
      <c r="H676" s="4" t="s">
        <v>686</v>
      </c>
      <c r="I676">
        <v>1</v>
      </c>
    </row>
    <row r="677" spans="8:9" x14ac:dyDescent="0.25">
      <c r="H677" s="4" t="s">
        <v>687</v>
      </c>
      <c r="I677">
        <v>1</v>
      </c>
    </row>
    <row r="678" spans="8:9" x14ac:dyDescent="0.25">
      <c r="H678" s="4" t="s">
        <v>688</v>
      </c>
      <c r="I678">
        <v>1</v>
      </c>
    </row>
    <row r="679" spans="8:9" x14ac:dyDescent="0.25">
      <c r="H679" s="4" t="s">
        <v>689</v>
      </c>
      <c r="I679">
        <v>1</v>
      </c>
    </row>
    <row r="680" spans="8:9" x14ac:dyDescent="0.25">
      <c r="H680" s="4" t="s">
        <v>690</v>
      </c>
      <c r="I680">
        <v>1</v>
      </c>
    </row>
    <row r="681" spans="8:9" x14ac:dyDescent="0.25">
      <c r="H681" s="4" t="s">
        <v>691</v>
      </c>
      <c r="I681">
        <v>1</v>
      </c>
    </row>
    <row r="682" spans="8:9" x14ac:dyDescent="0.25">
      <c r="H682" s="4" t="s">
        <v>692</v>
      </c>
      <c r="I682">
        <v>1</v>
      </c>
    </row>
    <row r="683" spans="8:9" x14ac:dyDescent="0.25">
      <c r="H683" s="4" t="s">
        <v>693</v>
      </c>
      <c r="I683">
        <v>1</v>
      </c>
    </row>
    <row r="684" spans="8:9" x14ac:dyDescent="0.25">
      <c r="H684" s="4" t="s">
        <v>694</v>
      </c>
      <c r="I684">
        <v>1</v>
      </c>
    </row>
    <row r="685" spans="8:9" x14ac:dyDescent="0.25">
      <c r="H685" s="4" t="s">
        <v>695</v>
      </c>
      <c r="I685">
        <v>1</v>
      </c>
    </row>
    <row r="686" spans="8:9" x14ac:dyDescent="0.25">
      <c r="H686" s="4" t="s">
        <v>696</v>
      </c>
      <c r="I686">
        <v>1</v>
      </c>
    </row>
    <row r="687" spans="8:9" x14ac:dyDescent="0.25">
      <c r="H687" s="4" t="s">
        <v>697</v>
      </c>
      <c r="I687">
        <v>1</v>
      </c>
    </row>
    <row r="688" spans="8:9" x14ac:dyDescent="0.25">
      <c r="H688" s="4" t="s">
        <v>698</v>
      </c>
      <c r="I688">
        <v>1</v>
      </c>
    </row>
    <row r="689" spans="8:9" x14ac:dyDescent="0.25">
      <c r="H689" s="4" t="s">
        <v>699</v>
      </c>
      <c r="I689">
        <v>1</v>
      </c>
    </row>
    <row r="690" spans="8:9" x14ac:dyDescent="0.25">
      <c r="H690" s="4" t="s">
        <v>700</v>
      </c>
      <c r="I690">
        <v>1</v>
      </c>
    </row>
    <row r="691" spans="8:9" x14ac:dyDescent="0.25">
      <c r="H691" s="4" t="s">
        <v>701</v>
      </c>
      <c r="I691">
        <v>1</v>
      </c>
    </row>
    <row r="692" spans="8:9" x14ac:dyDescent="0.25">
      <c r="H692" s="4" t="s">
        <v>702</v>
      </c>
      <c r="I692">
        <v>1</v>
      </c>
    </row>
    <row r="693" spans="8:9" x14ac:dyDescent="0.25">
      <c r="H693" s="4" t="s">
        <v>703</v>
      </c>
      <c r="I693">
        <v>1</v>
      </c>
    </row>
    <row r="694" spans="8:9" x14ac:dyDescent="0.25">
      <c r="H694" s="4" t="s">
        <v>704</v>
      </c>
      <c r="I694">
        <v>1</v>
      </c>
    </row>
    <row r="695" spans="8:9" x14ac:dyDescent="0.25">
      <c r="H695" s="4" t="s">
        <v>705</v>
      </c>
      <c r="I695">
        <v>1</v>
      </c>
    </row>
    <row r="696" spans="8:9" x14ac:dyDescent="0.25">
      <c r="H696" s="4" t="s">
        <v>706</v>
      </c>
      <c r="I696">
        <v>1</v>
      </c>
    </row>
    <row r="697" spans="8:9" x14ac:dyDescent="0.25">
      <c r="H697" s="4" t="s">
        <v>707</v>
      </c>
      <c r="I697">
        <v>1</v>
      </c>
    </row>
    <row r="698" spans="8:9" x14ac:dyDescent="0.25">
      <c r="H698" s="4" t="s">
        <v>708</v>
      </c>
      <c r="I698">
        <v>1</v>
      </c>
    </row>
    <row r="699" spans="8:9" x14ac:dyDescent="0.25">
      <c r="H699" s="4" t="s">
        <v>709</v>
      </c>
      <c r="I699">
        <v>1</v>
      </c>
    </row>
    <row r="700" spans="8:9" x14ac:dyDescent="0.25">
      <c r="H700" s="4" t="s">
        <v>710</v>
      </c>
      <c r="I700">
        <v>1</v>
      </c>
    </row>
    <row r="701" spans="8:9" x14ac:dyDescent="0.25">
      <c r="H701" s="4" t="s">
        <v>711</v>
      </c>
      <c r="I701">
        <v>1</v>
      </c>
    </row>
    <row r="702" spans="8:9" x14ac:dyDescent="0.25">
      <c r="H702" s="4" t="s">
        <v>712</v>
      </c>
      <c r="I702">
        <v>1</v>
      </c>
    </row>
    <row r="703" spans="8:9" x14ac:dyDescent="0.25">
      <c r="H703" s="4" t="s">
        <v>713</v>
      </c>
      <c r="I703">
        <v>1</v>
      </c>
    </row>
    <row r="704" spans="8:9" x14ac:dyDescent="0.25">
      <c r="H704" s="4" t="s">
        <v>714</v>
      </c>
      <c r="I704">
        <v>1</v>
      </c>
    </row>
    <row r="705" spans="8:9" x14ac:dyDescent="0.25">
      <c r="H705" s="4" t="s">
        <v>715</v>
      </c>
      <c r="I705">
        <v>1</v>
      </c>
    </row>
    <row r="706" spans="8:9" x14ac:dyDescent="0.25">
      <c r="H706" s="4" t="s">
        <v>716</v>
      </c>
      <c r="I706">
        <v>1</v>
      </c>
    </row>
    <row r="707" spans="8:9" x14ac:dyDescent="0.25">
      <c r="H707" s="4" t="s">
        <v>717</v>
      </c>
      <c r="I707">
        <v>1</v>
      </c>
    </row>
    <row r="708" spans="8:9" x14ac:dyDescent="0.25">
      <c r="H708" s="4" t="s">
        <v>718</v>
      </c>
      <c r="I708">
        <v>1</v>
      </c>
    </row>
    <row r="709" spans="8:9" x14ac:dyDescent="0.25">
      <c r="H709" s="4" t="s">
        <v>719</v>
      </c>
      <c r="I709">
        <v>1</v>
      </c>
    </row>
    <row r="710" spans="8:9" x14ac:dyDescent="0.25">
      <c r="H710" s="4" t="s">
        <v>720</v>
      </c>
      <c r="I710">
        <v>1</v>
      </c>
    </row>
    <row r="711" spans="8:9" x14ac:dyDescent="0.25">
      <c r="H711" s="4" t="s">
        <v>721</v>
      </c>
      <c r="I711">
        <v>1</v>
      </c>
    </row>
    <row r="712" spans="8:9" x14ac:dyDescent="0.25">
      <c r="H712" s="4" t="s">
        <v>722</v>
      </c>
      <c r="I712">
        <v>1</v>
      </c>
    </row>
    <row r="713" spans="8:9" x14ac:dyDescent="0.25">
      <c r="H713" s="4" t="s">
        <v>723</v>
      </c>
      <c r="I713">
        <v>1</v>
      </c>
    </row>
    <row r="714" spans="8:9" x14ac:dyDescent="0.25">
      <c r="H714" s="4" t="s">
        <v>724</v>
      </c>
      <c r="I714">
        <v>1</v>
      </c>
    </row>
    <row r="715" spans="8:9" x14ac:dyDescent="0.25">
      <c r="H715" s="4" t="s">
        <v>725</v>
      </c>
      <c r="I715">
        <v>1</v>
      </c>
    </row>
    <row r="716" spans="8:9" x14ac:dyDescent="0.25">
      <c r="H716" s="4" t="s">
        <v>726</v>
      </c>
      <c r="I716">
        <v>1</v>
      </c>
    </row>
    <row r="717" spans="8:9" x14ac:dyDescent="0.25">
      <c r="H717" s="4" t="s">
        <v>727</v>
      </c>
      <c r="I717">
        <v>1</v>
      </c>
    </row>
    <row r="718" spans="8:9" x14ac:dyDescent="0.25">
      <c r="H718" s="4" t="s">
        <v>728</v>
      </c>
      <c r="I718">
        <v>1</v>
      </c>
    </row>
    <row r="719" spans="8:9" x14ac:dyDescent="0.25">
      <c r="H719" s="4" t="s">
        <v>729</v>
      </c>
      <c r="I719">
        <v>1</v>
      </c>
    </row>
    <row r="720" spans="8:9" x14ac:dyDescent="0.25">
      <c r="H720" s="4" t="s">
        <v>730</v>
      </c>
      <c r="I720">
        <v>1</v>
      </c>
    </row>
    <row r="721" spans="8:9" x14ac:dyDescent="0.25">
      <c r="H721" s="4" t="s">
        <v>731</v>
      </c>
      <c r="I721">
        <v>1</v>
      </c>
    </row>
    <row r="722" spans="8:9" x14ac:dyDescent="0.25">
      <c r="H722" s="4" t="s">
        <v>732</v>
      </c>
      <c r="I722">
        <v>1</v>
      </c>
    </row>
    <row r="723" spans="8:9" x14ac:dyDescent="0.25">
      <c r="H723" s="4" t="s">
        <v>733</v>
      </c>
      <c r="I723">
        <v>1</v>
      </c>
    </row>
    <row r="724" spans="8:9" x14ac:dyDescent="0.25">
      <c r="H724" s="4" t="s">
        <v>734</v>
      </c>
      <c r="I724">
        <v>1</v>
      </c>
    </row>
    <row r="725" spans="8:9" x14ac:dyDescent="0.25">
      <c r="H725" s="4" t="s">
        <v>735</v>
      </c>
      <c r="I725">
        <v>1</v>
      </c>
    </row>
    <row r="726" spans="8:9" x14ac:dyDescent="0.25">
      <c r="H726" s="4" t="s">
        <v>736</v>
      </c>
      <c r="I726">
        <v>1</v>
      </c>
    </row>
    <row r="727" spans="8:9" x14ac:dyDescent="0.25">
      <c r="H727" s="4" t="s">
        <v>737</v>
      </c>
      <c r="I727">
        <v>1</v>
      </c>
    </row>
    <row r="728" spans="8:9" x14ac:dyDescent="0.25">
      <c r="H728" s="4" t="s">
        <v>738</v>
      </c>
      <c r="I728">
        <v>1</v>
      </c>
    </row>
    <row r="729" spans="8:9" x14ac:dyDescent="0.25">
      <c r="H729" s="4" t="s">
        <v>739</v>
      </c>
      <c r="I729">
        <v>1</v>
      </c>
    </row>
    <row r="730" spans="8:9" x14ac:dyDescent="0.25">
      <c r="H730" s="4" t="s">
        <v>740</v>
      </c>
      <c r="I730">
        <v>1</v>
      </c>
    </row>
    <row r="731" spans="8:9" x14ac:dyDescent="0.25">
      <c r="H731" s="4" t="s">
        <v>741</v>
      </c>
      <c r="I731">
        <v>1</v>
      </c>
    </row>
    <row r="732" spans="8:9" x14ac:dyDescent="0.25">
      <c r="H732" s="4" t="s">
        <v>742</v>
      </c>
      <c r="I732">
        <v>1</v>
      </c>
    </row>
    <row r="733" spans="8:9" x14ac:dyDescent="0.25">
      <c r="H733" s="4" t="s">
        <v>743</v>
      </c>
      <c r="I733">
        <v>1</v>
      </c>
    </row>
    <row r="734" spans="8:9" x14ac:dyDescent="0.25">
      <c r="H734" s="4" t="s">
        <v>744</v>
      </c>
      <c r="I734">
        <v>1</v>
      </c>
    </row>
    <row r="735" spans="8:9" x14ac:dyDescent="0.25">
      <c r="H735" s="4" t="s">
        <v>745</v>
      </c>
      <c r="I735">
        <v>1</v>
      </c>
    </row>
    <row r="736" spans="8:9" x14ac:dyDescent="0.25">
      <c r="H736" s="4" t="s">
        <v>746</v>
      </c>
      <c r="I736">
        <v>1</v>
      </c>
    </row>
    <row r="737" spans="8:9" x14ac:dyDescent="0.25">
      <c r="H737" s="4" t="s">
        <v>747</v>
      </c>
      <c r="I737">
        <v>1</v>
      </c>
    </row>
    <row r="738" spans="8:9" x14ac:dyDescent="0.25">
      <c r="H738" s="4" t="s">
        <v>748</v>
      </c>
      <c r="I738">
        <v>1</v>
      </c>
    </row>
    <row r="739" spans="8:9" x14ac:dyDescent="0.25">
      <c r="H739" s="4" t="s">
        <v>749</v>
      </c>
      <c r="I739">
        <v>1</v>
      </c>
    </row>
    <row r="740" spans="8:9" x14ac:dyDescent="0.25">
      <c r="H740" s="4" t="s">
        <v>750</v>
      </c>
      <c r="I740">
        <v>1</v>
      </c>
    </row>
    <row r="741" spans="8:9" x14ac:dyDescent="0.25">
      <c r="H741" s="4" t="s">
        <v>751</v>
      </c>
      <c r="I741">
        <v>1</v>
      </c>
    </row>
    <row r="742" spans="8:9" x14ac:dyDescent="0.25">
      <c r="H742" s="4" t="s">
        <v>752</v>
      </c>
      <c r="I742">
        <v>1</v>
      </c>
    </row>
    <row r="743" spans="8:9" x14ac:dyDescent="0.25">
      <c r="H743" s="4" t="s">
        <v>753</v>
      </c>
      <c r="I743">
        <v>1</v>
      </c>
    </row>
    <row r="744" spans="8:9" x14ac:dyDescent="0.25">
      <c r="H744" s="4" t="s">
        <v>754</v>
      </c>
      <c r="I744">
        <v>1</v>
      </c>
    </row>
    <row r="745" spans="8:9" x14ac:dyDescent="0.25">
      <c r="H745" s="4" t="s">
        <v>755</v>
      </c>
      <c r="I745">
        <v>1</v>
      </c>
    </row>
    <row r="746" spans="8:9" x14ac:dyDescent="0.25">
      <c r="H746" s="4" t="s">
        <v>756</v>
      </c>
      <c r="I746">
        <v>1</v>
      </c>
    </row>
    <row r="747" spans="8:9" x14ac:dyDescent="0.25">
      <c r="H747" s="4" t="s">
        <v>757</v>
      </c>
      <c r="I747">
        <v>1</v>
      </c>
    </row>
    <row r="748" spans="8:9" x14ac:dyDescent="0.25">
      <c r="H748" s="4" t="s">
        <v>758</v>
      </c>
      <c r="I748">
        <v>1</v>
      </c>
    </row>
    <row r="749" spans="8:9" x14ac:dyDescent="0.25">
      <c r="H749" s="4" t="s">
        <v>759</v>
      </c>
      <c r="I749">
        <v>1</v>
      </c>
    </row>
    <row r="750" spans="8:9" x14ac:dyDescent="0.25">
      <c r="H750" s="4" t="s">
        <v>760</v>
      </c>
      <c r="I750">
        <v>1</v>
      </c>
    </row>
    <row r="751" spans="8:9" x14ac:dyDescent="0.25">
      <c r="H751" s="4" t="s">
        <v>761</v>
      </c>
      <c r="I751">
        <v>1</v>
      </c>
    </row>
    <row r="752" spans="8:9" x14ac:dyDescent="0.25">
      <c r="H752" s="4" t="s">
        <v>762</v>
      </c>
      <c r="I752">
        <v>1</v>
      </c>
    </row>
    <row r="753" spans="8:9" x14ac:dyDescent="0.25">
      <c r="H753" s="4" t="s">
        <v>763</v>
      </c>
      <c r="I753">
        <v>1</v>
      </c>
    </row>
    <row r="754" spans="8:9" x14ac:dyDescent="0.25">
      <c r="H754" s="4" t="s">
        <v>764</v>
      </c>
      <c r="I754">
        <v>1</v>
      </c>
    </row>
    <row r="755" spans="8:9" x14ac:dyDescent="0.25">
      <c r="H755" s="4" t="s">
        <v>765</v>
      </c>
      <c r="I755">
        <v>1</v>
      </c>
    </row>
    <row r="756" spans="8:9" x14ac:dyDescent="0.25">
      <c r="H756" s="4" t="s">
        <v>766</v>
      </c>
      <c r="I756">
        <v>1</v>
      </c>
    </row>
    <row r="757" spans="8:9" x14ac:dyDescent="0.25">
      <c r="H757" s="4" t="s">
        <v>767</v>
      </c>
      <c r="I757">
        <v>1</v>
      </c>
    </row>
    <row r="758" spans="8:9" x14ac:dyDescent="0.25">
      <c r="H758" s="4" t="s">
        <v>768</v>
      </c>
      <c r="I758">
        <v>1</v>
      </c>
    </row>
    <row r="759" spans="8:9" x14ac:dyDescent="0.25">
      <c r="H759" s="4" t="s">
        <v>769</v>
      </c>
      <c r="I759">
        <v>1</v>
      </c>
    </row>
    <row r="760" spans="8:9" x14ac:dyDescent="0.25">
      <c r="H760" s="4" t="s">
        <v>770</v>
      </c>
      <c r="I760">
        <v>1</v>
      </c>
    </row>
    <row r="761" spans="8:9" x14ac:dyDescent="0.25">
      <c r="H761" s="4" t="s">
        <v>771</v>
      </c>
      <c r="I761">
        <v>1</v>
      </c>
    </row>
    <row r="762" spans="8:9" x14ac:dyDescent="0.25">
      <c r="H762" s="4" t="s">
        <v>772</v>
      </c>
      <c r="I762">
        <v>1</v>
      </c>
    </row>
    <row r="763" spans="8:9" x14ac:dyDescent="0.25">
      <c r="H763" s="4" t="s">
        <v>773</v>
      </c>
      <c r="I763">
        <v>1</v>
      </c>
    </row>
    <row r="764" spans="8:9" x14ac:dyDescent="0.25">
      <c r="H764" s="4" t="s">
        <v>774</v>
      </c>
      <c r="I764">
        <v>1</v>
      </c>
    </row>
    <row r="765" spans="8:9" x14ac:dyDescent="0.25">
      <c r="H765" s="4" t="s">
        <v>775</v>
      </c>
      <c r="I765">
        <v>1</v>
      </c>
    </row>
    <row r="766" spans="8:9" x14ac:dyDescent="0.25">
      <c r="H766" s="4" t="s">
        <v>776</v>
      </c>
      <c r="I766">
        <v>1</v>
      </c>
    </row>
    <row r="767" spans="8:9" x14ac:dyDescent="0.25">
      <c r="H767" s="4" t="s">
        <v>777</v>
      </c>
      <c r="I767">
        <v>1</v>
      </c>
    </row>
    <row r="768" spans="8:9" x14ac:dyDescent="0.25">
      <c r="H768" s="4" t="s">
        <v>778</v>
      </c>
      <c r="I768">
        <v>1</v>
      </c>
    </row>
    <row r="769" spans="8:9" x14ac:dyDescent="0.25">
      <c r="H769" s="4" t="s">
        <v>779</v>
      </c>
      <c r="I769">
        <v>1</v>
      </c>
    </row>
    <row r="770" spans="8:9" x14ac:dyDescent="0.25">
      <c r="H770" s="4" t="s">
        <v>780</v>
      </c>
      <c r="I770">
        <v>1</v>
      </c>
    </row>
    <row r="771" spans="8:9" x14ac:dyDescent="0.25">
      <c r="H771" s="4" t="s">
        <v>781</v>
      </c>
      <c r="I771">
        <v>1</v>
      </c>
    </row>
    <row r="772" spans="8:9" x14ac:dyDescent="0.25">
      <c r="H772" s="4" t="s">
        <v>782</v>
      </c>
      <c r="I772">
        <v>1</v>
      </c>
    </row>
    <row r="773" spans="8:9" x14ac:dyDescent="0.25">
      <c r="H773" s="4" t="s">
        <v>783</v>
      </c>
      <c r="I773">
        <v>1</v>
      </c>
    </row>
    <row r="774" spans="8:9" x14ac:dyDescent="0.25">
      <c r="H774" s="4" t="s">
        <v>784</v>
      </c>
      <c r="I774">
        <v>1</v>
      </c>
    </row>
    <row r="775" spans="8:9" x14ac:dyDescent="0.25">
      <c r="H775" s="4" t="s">
        <v>785</v>
      </c>
      <c r="I775">
        <v>1</v>
      </c>
    </row>
    <row r="776" spans="8:9" x14ac:dyDescent="0.25">
      <c r="H776" s="4" t="s">
        <v>786</v>
      </c>
      <c r="I776">
        <v>1</v>
      </c>
    </row>
    <row r="777" spans="8:9" x14ac:dyDescent="0.25">
      <c r="H777" s="4" t="s">
        <v>787</v>
      </c>
      <c r="I777">
        <v>1</v>
      </c>
    </row>
    <row r="778" spans="8:9" x14ac:dyDescent="0.25">
      <c r="H778" s="4" t="s">
        <v>788</v>
      </c>
      <c r="I778">
        <v>1</v>
      </c>
    </row>
    <row r="779" spans="8:9" x14ac:dyDescent="0.25">
      <c r="H779" s="4" t="s">
        <v>789</v>
      </c>
      <c r="I779">
        <v>1</v>
      </c>
    </row>
    <row r="780" spans="8:9" x14ac:dyDescent="0.25">
      <c r="H780" s="4" t="s">
        <v>790</v>
      </c>
      <c r="I780">
        <v>1</v>
      </c>
    </row>
    <row r="781" spans="8:9" x14ac:dyDescent="0.25">
      <c r="H781" s="4" t="s">
        <v>791</v>
      </c>
      <c r="I781">
        <v>1</v>
      </c>
    </row>
    <row r="782" spans="8:9" x14ac:dyDescent="0.25">
      <c r="H782" s="4" t="s">
        <v>792</v>
      </c>
      <c r="I782">
        <v>1</v>
      </c>
    </row>
    <row r="783" spans="8:9" x14ac:dyDescent="0.25">
      <c r="H783" s="4" t="s">
        <v>793</v>
      </c>
      <c r="I783">
        <v>1</v>
      </c>
    </row>
    <row r="784" spans="8:9" x14ac:dyDescent="0.25">
      <c r="H784" s="4" t="s">
        <v>794</v>
      </c>
      <c r="I784">
        <v>1</v>
      </c>
    </row>
    <row r="785" spans="8:9" x14ac:dyDescent="0.25">
      <c r="H785" s="4" t="s">
        <v>795</v>
      </c>
      <c r="I785">
        <v>1</v>
      </c>
    </row>
    <row r="786" spans="8:9" x14ac:dyDescent="0.25">
      <c r="H786" s="4" t="s">
        <v>796</v>
      </c>
      <c r="I786">
        <v>1</v>
      </c>
    </row>
    <row r="787" spans="8:9" x14ac:dyDescent="0.25">
      <c r="H787" s="4" t="s">
        <v>797</v>
      </c>
      <c r="I787">
        <v>1</v>
      </c>
    </row>
    <row r="788" spans="8:9" x14ac:dyDescent="0.25">
      <c r="H788" s="4" t="s">
        <v>798</v>
      </c>
      <c r="I788">
        <v>1</v>
      </c>
    </row>
    <row r="789" spans="8:9" x14ac:dyDescent="0.25">
      <c r="H789" s="4" t="s">
        <v>799</v>
      </c>
      <c r="I789">
        <v>1</v>
      </c>
    </row>
    <row r="790" spans="8:9" x14ac:dyDescent="0.25">
      <c r="H790" s="4" t="s">
        <v>800</v>
      </c>
      <c r="I790">
        <v>1</v>
      </c>
    </row>
    <row r="791" spans="8:9" x14ac:dyDescent="0.25">
      <c r="H791" s="4" t="s">
        <v>801</v>
      </c>
      <c r="I791">
        <v>1</v>
      </c>
    </row>
    <row r="792" spans="8:9" x14ac:dyDescent="0.25">
      <c r="H792" s="4" t="s">
        <v>802</v>
      </c>
      <c r="I792">
        <v>1</v>
      </c>
    </row>
    <row r="793" spans="8:9" x14ac:dyDescent="0.25">
      <c r="H793" s="4" t="s">
        <v>803</v>
      </c>
      <c r="I793">
        <v>1</v>
      </c>
    </row>
    <row r="794" spans="8:9" x14ac:dyDescent="0.25">
      <c r="H794" s="4" t="s">
        <v>804</v>
      </c>
      <c r="I794">
        <v>1</v>
      </c>
    </row>
    <row r="795" spans="8:9" x14ac:dyDescent="0.25">
      <c r="H795" s="4" t="s">
        <v>805</v>
      </c>
      <c r="I795">
        <v>1</v>
      </c>
    </row>
    <row r="796" spans="8:9" x14ac:dyDescent="0.25">
      <c r="H796" s="4" t="s">
        <v>806</v>
      </c>
      <c r="I796">
        <v>1</v>
      </c>
    </row>
    <row r="797" spans="8:9" x14ac:dyDescent="0.25">
      <c r="H797" s="4" t="s">
        <v>807</v>
      </c>
      <c r="I797">
        <v>1</v>
      </c>
    </row>
    <row r="798" spans="8:9" x14ac:dyDescent="0.25">
      <c r="H798" s="4" t="s">
        <v>808</v>
      </c>
      <c r="I798">
        <v>1</v>
      </c>
    </row>
    <row r="799" spans="8:9" x14ac:dyDescent="0.25">
      <c r="H799" s="4" t="s">
        <v>809</v>
      </c>
      <c r="I799">
        <v>1</v>
      </c>
    </row>
    <row r="800" spans="8:9" x14ac:dyDescent="0.25">
      <c r="H800" s="4" t="s">
        <v>810</v>
      </c>
      <c r="I800">
        <v>1</v>
      </c>
    </row>
    <row r="801" spans="8:9" x14ac:dyDescent="0.25">
      <c r="H801" s="4" t="s">
        <v>811</v>
      </c>
      <c r="I801">
        <v>1</v>
      </c>
    </row>
    <row r="802" spans="8:9" x14ac:dyDescent="0.25">
      <c r="H802" s="4" t="s">
        <v>812</v>
      </c>
      <c r="I802">
        <v>1</v>
      </c>
    </row>
    <row r="803" spans="8:9" x14ac:dyDescent="0.25">
      <c r="H803" s="4" t="s">
        <v>813</v>
      </c>
      <c r="I803">
        <v>1</v>
      </c>
    </row>
    <row r="804" spans="8:9" x14ac:dyDescent="0.25">
      <c r="H804" s="4" t="s">
        <v>814</v>
      </c>
      <c r="I804">
        <v>1</v>
      </c>
    </row>
    <row r="805" spans="8:9" x14ac:dyDescent="0.25">
      <c r="H805" s="4" t="s">
        <v>815</v>
      </c>
      <c r="I805">
        <v>1</v>
      </c>
    </row>
    <row r="806" spans="8:9" x14ac:dyDescent="0.25">
      <c r="H806" s="4" t="s">
        <v>816</v>
      </c>
      <c r="I806">
        <v>1</v>
      </c>
    </row>
    <row r="807" spans="8:9" x14ac:dyDescent="0.25">
      <c r="H807" s="4" t="s">
        <v>817</v>
      </c>
      <c r="I807">
        <v>1</v>
      </c>
    </row>
    <row r="808" spans="8:9" x14ac:dyDescent="0.25">
      <c r="H808" s="4" t="s">
        <v>818</v>
      </c>
      <c r="I808">
        <v>1</v>
      </c>
    </row>
    <row r="809" spans="8:9" x14ac:dyDescent="0.25">
      <c r="H809" s="4" t="s">
        <v>819</v>
      </c>
      <c r="I809">
        <v>1</v>
      </c>
    </row>
    <row r="810" spans="8:9" x14ac:dyDescent="0.25">
      <c r="H810" s="4" t="s">
        <v>820</v>
      </c>
      <c r="I810">
        <v>1</v>
      </c>
    </row>
    <row r="811" spans="8:9" x14ac:dyDescent="0.25">
      <c r="H811" s="4" t="s">
        <v>821</v>
      </c>
      <c r="I811">
        <v>1</v>
      </c>
    </row>
    <row r="812" spans="8:9" x14ac:dyDescent="0.25">
      <c r="H812" s="4" t="s">
        <v>822</v>
      </c>
      <c r="I812">
        <v>1</v>
      </c>
    </row>
    <row r="813" spans="8:9" x14ac:dyDescent="0.25">
      <c r="H813" s="4" t="s">
        <v>823</v>
      </c>
      <c r="I813">
        <v>1</v>
      </c>
    </row>
    <row r="814" spans="8:9" x14ac:dyDescent="0.25">
      <c r="H814" s="4" t="s">
        <v>824</v>
      </c>
      <c r="I814">
        <v>1</v>
      </c>
    </row>
    <row r="815" spans="8:9" x14ac:dyDescent="0.25">
      <c r="H815" s="4" t="s">
        <v>825</v>
      </c>
      <c r="I815">
        <v>1</v>
      </c>
    </row>
    <row r="816" spans="8:9" x14ac:dyDescent="0.25">
      <c r="H816" s="4" t="s">
        <v>826</v>
      </c>
      <c r="I816">
        <v>1</v>
      </c>
    </row>
    <row r="817" spans="8:9" x14ac:dyDescent="0.25">
      <c r="H817" s="4" t="s">
        <v>827</v>
      </c>
      <c r="I817">
        <v>1</v>
      </c>
    </row>
    <row r="818" spans="8:9" x14ac:dyDescent="0.25">
      <c r="H818" s="4" t="s">
        <v>828</v>
      </c>
      <c r="I818">
        <v>1</v>
      </c>
    </row>
    <row r="819" spans="8:9" x14ac:dyDescent="0.25">
      <c r="H819" s="4" t="s">
        <v>829</v>
      </c>
      <c r="I819">
        <v>1</v>
      </c>
    </row>
    <row r="820" spans="8:9" x14ac:dyDescent="0.25">
      <c r="H820" s="4" t="s">
        <v>830</v>
      </c>
      <c r="I820">
        <v>1</v>
      </c>
    </row>
    <row r="821" spans="8:9" x14ac:dyDescent="0.25">
      <c r="H821" s="4" t="s">
        <v>831</v>
      </c>
      <c r="I821">
        <v>1</v>
      </c>
    </row>
    <row r="822" spans="8:9" x14ac:dyDescent="0.25">
      <c r="H822" s="4" t="s">
        <v>832</v>
      </c>
      <c r="I822">
        <v>1</v>
      </c>
    </row>
    <row r="823" spans="8:9" x14ac:dyDescent="0.25">
      <c r="H823" s="4" t="s">
        <v>833</v>
      </c>
      <c r="I823">
        <v>1</v>
      </c>
    </row>
    <row r="824" spans="8:9" x14ac:dyDescent="0.25">
      <c r="H824" s="4" t="s">
        <v>834</v>
      </c>
      <c r="I824">
        <v>1</v>
      </c>
    </row>
    <row r="825" spans="8:9" x14ac:dyDescent="0.25">
      <c r="H825" s="4" t="s">
        <v>835</v>
      </c>
      <c r="I825">
        <v>1</v>
      </c>
    </row>
    <row r="826" spans="8:9" x14ac:dyDescent="0.25">
      <c r="H826" s="4" t="s">
        <v>836</v>
      </c>
      <c r="I826">
        <v>1</v>
      </c>
    </row>
    <row r="827" spans="8:9" x14ac:dyDescent="0.25">
      <c r="H827" s="4" t="s">
        <v>837</v>
      </c>
      <c r="I827">
        <v>1</v>
      </c>
    </row>
    <row r="828" spans="8:9" x14ac:dyDescent="0.25">
      <c r="H828" s="4" t="s">
        <v>838</v>
      </c>
      <c r="I828">
        <v>1</v>
      </c>
    </row>
    <row r="829" spans="8:9" x14ac:dyDescent="0.25">
      <c r="H829" s="4" t="s">
        <v>839</v>
      </c>
      <c r="I829">
        <v>1</v>
      </c>
    </row>
    <row r="830" spans="8:9" x14ac:dyDescent="0.25">
      <c r="H830" s="4" t="s">
        <v>840</v>
      </c>
      <c r="I830">
        <v>1</v>
      </c>
    </row>
    <row r="831" spans="8:9" x14ac:dyDescent="0.25">
      <c r="H831" s="4" t="s">
        <v>841</v>
      </c>
      <c r="I831">
        <v>1</v>
      </c>
    </row>
    <row r="832" spans="8:9" x14ac:dyDescent="0.25">
      <c r="H832" s="4" t="s">
        <v>842</v>
      </c>
      <c r="I832">
        <v>1</v>
      </c>
    </row>
    <row r="833" spans="8:9" x14ac:dyDescent="0.25">
      <c r="H833" s="4" t="s">
        <v>843</v>
      </c>
      <c r="I833">
        <v>1</v>
      </c>
    </row>
    <row r="834" spans="8:9" x14ac:dyDescent="0.25">
      <c r="H834" s="4" t="s">
        <v>844</v>
      </c>
      <c r="I834">
        <v>1</v>
      </c>
    </row>
    <row r="835" spans="8:9" x14ac:dyDescent="0.25">
      <c r="H835" s="4" t="s">
        <v>845</v>
      </c>
      <c r="I835">
        <v>1</v>
      </c>
    </row>
    <row r="836" spans="8:9" x14ac:dyDescent="0.25">
      <c r="H836" s="4" t="s">
        <v>846</v>
      </c>
      <c r="I836">
        <v>1</v>
      </c>
    </row>
    <row r="837" spans="8:9" x14ac:dyDescent="0.25">
      <c r="H837" s="4" t="s">
        <v>847</v>
      </c>
      <c r="I837">
        <v>1</v>
      </c>
    </row>
    <row r="838" spans="8:9" x14ac:dyDescent="0.25">
      <c r="H838" s="4" t="s">
        <v>848</v>
      </c>
      <c r="I838">
        <v>1</v>
      </c>
    </row>
    <row r="839" spans="8:9" x14ac:dyDescent="0.25">
      <c r="H839" s="4" t="s">
        <v>849</v>
      </c>
      <c r="I839">
        <v>1</v>
      </c>
    </row>
    <row r="840" spans="8:9" x14ac:dyDescent="0.25">
      <c r="H840" s="4" t="s">
        <v>850</v>
      </c>
      <c r="I840">
        <v>1</v>
      </c>
    </row>
    <row r="841" spans="8:9" x14ac:dyDescent="0.25">
      <c r="H841" s="4" t="s">
        <v>851</v>
      </c>
      <c r="I841">
        <v>1</v>
      </c>
    </row>
    <row r="842" spans="8:9" x14ac:dyDescent="0.25">
      <c r="H842" s="4" t="s">
        <v>852</v>
      </c>
      <c r="I842">
        <v>1</v>
      </c>
    </row>
    <row r="843" spans="8:9" x14ac:dyDescent="0.25">
      <c r="H843" s="4" t="s">
        <v>853</v>
      </c>
      <c r="I843">
        <v>1</v>
      </c>
    </row>
    <row r="844" spans="8:9" x14ac:dyDescent="0.25">
      <c r="H844" s="4" t="s">
        <v>854</v>
      </c>
      <c r="I844">
        <v>1</v>
      </c>
    </row>
    <row r="845" spans="8:9" x14ac:dyDescent="0.25">
      <c r="H845" s="4" t="s">
        <v>855</v>
      </c>
      <c r="I845">
        <v>1</v>
      </c>
    </row>
    <row r="846" spans="8:9" x14ac:dyDescent="0.25">
      <c r="H846" s="4" t="s">
        <v>856</v>
      </c>
      <c r="I846">
        <v>1</v>
      </c>
    </row>
    <row r="847" spans="8:9" x14ac:dyDescent="0.25">
      <c r="H847" s="4" t="s">
        <v>857</v>
      </c>
      <c r="I847">
        <v>1</v>
      </c>
    </row>
    <row r="848" spans="8:9" x14ac:dyDescent="0.25">
      <c r="H848" s="4" t="s">
        <v>858</v>
      </c>
      <c r="I848">
        <v>1</v>
      </c>
    </row>
    <row r="849" spans="8:9" x14ac:dyDescent="0.25">
      <c r="H849" s="4" t="s">
        <v>859</v>
      </c>
      <c r="I849">
        <v>1</v>
      </c>
    </row>
    <row r="850" spans="8:9" x14ac:dyDescent="0.25">
      <c r="H850" s="4" t="s">
        <v>860</v>
      </c>
      <c r="I850">
        <v>1</v>
      </c>
    </row>
    <row r="851" spans="8:9" x14ac:dyDescent="0.25">
      <c r="H851" s="4" t="s">
        <v>861</v>
      </c>
      <c r="I851">
        <v>1</v>
      </c>
    </row>
    <row r="852" spans="8:9" x14ac:dyDescent="0.25">
      <c r="H852" s="4" t="s">
        <v>862</v>
      </c>
      <c r="I852">
        <v>1</v>
      </c>
    </row>
    <row r="853" spans="8:9" x14ac:dyDescent="0.25">
      <c r="H853" s="4" t="s">
        <v>863</v>
      </c>
      <c r="I853">
        <v>1</v>
      </c>
    </row>
    <row r="854" spans="8:9" x14ac:dyDescent="0.25">
      <c r="H854" s="4" t="s">
        <v>864</v>
      </c>
      <c r="I854">
        <v>1</v>
      </c>
    </row>
    <row r="855" spans="8:9" x14ac:dyDescent="0.25">
      <c r="H855" s="4" t="s">
        <v>865</v>
      </c>
      <c r="I855">
        <v>1</v>
      </c>
    </row>
    <row r="856" spans="8:9" x14ac:dyDescent="0.25">
      <c r="H856" s="4" t="s">
        <v>866</v>
      </c>
      <c r="I856">
        <v>1</v>
      </c>
    </row>
    <row r="857" spans="8:9" x14ac:dyDescent="0.25">
      <c r="H857" s="4" t="s">
        <v>867</v>
      </c>
      <c r="I857">
        <v>1</v>
      </c>
    </row>
    <row r="858" spans="8:9" x14ac:dyDescent="0.25">
      <c r="H858" s="4" t="s">
        <v>868</v>
      </c>
      <c r="I858">
        <v>1</v>
      </c>
    </row>
    <row r="859" spans="8:9" x14ac:dyDescent="0.25">
      <c r="H859" s="4" t="s">
        <v>869</v>
      </c>
      <c r="I859">
        <v>1</v>
      </c>
    </row>
    <row r="860" spans="8:9" x14ac:dyDescent="0.25">
      <c r="H860" s="4" t="s">
        <v>870</v>
      </c>
      <c r="I860">
        <v>1</v>
      </c>
    </row>
    <row r="861" spans="8:9" x14ac:dyDescent="0.25">
      <c r="H861" s="4" t="s">
        <v>871</v>
      </c>
      <c r="I861">
        <v>1</v>
      </c>
    </row>
    <row r="862" spans="8:9" x14ac:dyDescent="0.25">
      <c r="H862" s="4" t="s">
        <v>872</v>
      </c>
      <c r="I862">
        <v>1</v>
      </c>
    </row>
    <row r="863" spans="8:9" x14ac:dyDescent="0.25">
      <c r="H863" s="4" t="s">
        <v>873</v>
      </c>
      <c r="I863">
        <v>1</v>
      </c>
    </row>
    <row r="864" spans="8:9" x14ac:dyDescent="0.25">
      <c r="H864" s="4" t="s">
        <v>874</v>
      </c>
      <c r="I864">
        <v>1</v>
      </c>
    </row>
    <row r="865" spans="8:9" x14ac:dyDescent="0.25">
      <c r="H865" s="4" t="s">
        <v>875</v>
      </c>
      <c r="I865">
        <v>1</v>
      </c>
    </row>
    <row r="866" spans="8:9" x14ac:dyDescent="0.25">
      <c r="H866" s="4" t="s">
        <v>876</v>
      </c>
      <c r="I866">
        <v>1</v>
      </c>
    </row>
    <row r="867" spans="8:9" x14ac:dyDescent="0.25">
      <c r="H867" s="4" t="s">
        <v>877</v>
      </c>
      <c r="I867">
        <v>1</v>
      </c>
    </row>
    <row r="868" spans="8:9" x14ac:dyDescent="0.25">
      <c r="H868" s="4" t="s">
        <v>878</v>
      </c>
      <c r="I868">
        <v>1</v>
      </c>
    </row>
    <row r="869" spans="8:9" x14ac:dyDescent="0.25">
      <c r="H869" s="4" t="s">
        <v>879</v>
      </c>
      <c r="I869">
        <v>1</v>
      </c>
    </row>
    <row r="870" spans="8:9" x14ac:dyDescent="0.25">
      <c r="H870" s="4" t="s">
        <v>880</v>
      </c>
      <c r="I870">
        <v>1</v>
      </c>
    </row>
    <row r="871" spans="8:9" x14ac:dyDescent="0.25">
      <c r="H871" s="4" t="s">
        <v>881</v>
      </c>
      <c r="I871">
        <v>1</v>
      </c>
    </row>
    <row r="872" spans="8:9" x14ac:dyDescent="0.25">
      <c r="H872" s="4" t="s">
        <v>882</v>
      </c>
      <c r="I872">
        <v>1</v>
      </c>
    </row>
    <row r="873" spans="8:9" x14ac:dyDescent="0.25">
      <c r="H873" s="4" t="s">
        <v>883</v>
      </c>
      <c r="I873">
        <v>1</v>
      </c>
    </row>
    <row r="874" spans="8:9" x14ac:dyDescent="0.25">
      <c r="H874" s="4" t="s">
        <v>884</v>
      </c>
      <c r="I874">
        <v>1</v>
      </c>
    </row>
    <row r="875" spans="8:9" x14ac:dyDescent="0.25">
      <c r="H875" s="4" t="s">
        <v>885</v>
      </c>
      <c r="I875">
        <v>1</v>
      </c>
    </row>
    <row r="876" spans="8:9" x14ac:dyDescent="0.25">
      <c r="H876" s="4" t="s">
        <v>886</v>
      </c>
      <c r="I876">
        <v>1</v>
      </c>
    </row>
    <row r="877" spans="8:9" x14ac:dyDescent="0.25">
      <c r="H877" s="4" t="s">
        <v>887</v>
      </c>
      <c r="I877">
        <v>1</v>
      </c>
    </row>
    <row r="878" spans="8:9" x14ac:dyDescent="0.25">
      <c r="H878" s="4" t="s">
        <v>888</v>
      </c>
      <c r="I878">
        <v>1</v>
      </c>
    </row>
    <row r="879" spans="8:9" x14ac:dyDescent="0.25">
      <c r="H879" s="4" t="s">
        <v>889</v>
      </c>
      <c r="I879">
        <v>1</v>
      </c>
    </row>
    <row r="880" spans="8:9" x14ac:dyDescent="0.25">
      <c r="H880" s="4" t="s">
        <v>890</v>
      </c>
      <c r="I880">
        <v>1</v>
      </c>
    </row>
    <row r="881" spans="8:9" x14ac:dyDescent="0.25">
      <c r="H881" s="4" t="s">
        <v>891</v>
      </c>
      <c r="I881">
        <v>1</v>
      </c>
    </row>
    <row r="882" spans="8:9" x14ac:dyDescent="0.25">
      <c r="H882" s="4" t="s">
        <v>892</v>
      </c>
      <c r="I882">
        <v>1</v>
      </c>
    </row>
    <row r="883" spans="8:9" x14ac:dyDescent="0.25">
      <c r="H883" s="4" t="s">
        <v>893</v>
      </c>
      <c r="I883">
        <v>1</v>
      </c>
    </row>
    <row r="884" spans="8:9" x14ac:dyDescent="0.25">
      <c r="H884" s="4" t="s">
        <v>894</v>
      </c>
      <c r="I884">
        <v>1</v>
      </c>
    </row>
    <row r="885" spans="8:9" x14ac:dyDescent="0.25">
      <c r="H885" s="4" t="s">
        <v>895</v>
      </c>
      <c r="I885">
        <v>1</v>
      </c>
    </row>
    <row r="886" spans="8:9" x14ac:dyDescent="0.25">
      <c r="H886" s="4" t="s">
        <v>896</v>
      </c>
      <c r="I886">
        <v>1</v>
      </c>
    </row>
    <row r="887" spans="8:9" x14ac:dyDescent="0.25">
      <c r="H887" s="4" t="s">
        <v>897</v>
      </c>
      <c r="I887">
        <v>1</v>
      </c>
    </row>
    <row r="888" spans="8:9" x14ac:dyDescent="0.25">
      <c r="H888" s="4" t="s">
        <v>898</v>
      </c>
      <c r="I888">
        <v>1</v>
      </c>
    </row>
    <row r="889" spans="8:9" x14ac:dyDescent="0.25">
      <c r="H889" s="4" t="s">
        <v>899</v>
      </c>
      <c r="I889">
        <v>1</v>
      </c>
    </row>
    <row r="890" spans="8:9" x14ac:dyDescent="0.25">
      <c r="H890" s="4" t="s">
        <v>900</v>
      </c>
      <c r="I890">
        <v>1</v>
      </c>
    </row>
    <row r="891" spans="8:9" x14ac:dyDescent="0.25">
      <c r="H891" s="4" t="s">
        <v>901</v>
      </c>
      <c r="I891">
        <v>1</v>
      </c>
    </row>
    <row r="892" spans="8:9" x14ac:dyDescent="0.25">
      <c r="H892" s="4" t="s">
        <v>902</v>
      </c>
      <c r="I892">
        <v>1</v>
      </c>
    </row>
    <row r="893" spans="8:9" x14ac:dyDescent="0.25">
      <c r="H893" s="4" t="s">
        <v>903</v>
      </c>
      <c r="I893">
        <v>1</v>
      </c>
    </row>
    <row r="894" spans="8:9" x14ac:dyDescent="0.25">
      <c r="H894" s="4" t="s">
        <v>904</v>
      </c>
      <c r="I894">
        <v>1</v>
      </c>
    </row>
    <row r="895" spans="8:9" x14ac:dyDescent="0.25">
      <c r="H895" s="4" t="s">
        <v>905</v>
      </c>
      <c r="I895">
        <v>1</v>
      </c>
    </row>
    <row r="896" spans="8:9" x14ac:dyDescent="0.25">
      <c r="H896" s="4" t="s">
        <v>906</v>
      </c>
      <c r="I896">
        <v>1</v>
      </c>
    </row>
    <row r="897" spans="8:9" x14ac:dyDescent="0.25">
      <c r="H897" s="4" t="s">
        <v>907</v>
      </c>
      <c r="I897">
        <v>1</v>
      </c>
    </row>
    <row r="898" spans="8:9" x14ac:dyDescent="0.25">
      <c r="H898" s="4" t="s">
        <v>908</v>
      </c>
      <c r="I898">
        <v>1</v>
      </c>
    </row>
    <row r="899" spans="8:9" x14ac:dyDescent="0.25">
      <c r="H899" s="4" t="s">
        <v>909</v>
      </c>
      <c r="I899">
        <v>1</v>
      </c>
    </row>
    <row r="900" spans="8:9" x14ac:dyDescent="0.25">
      <c r="H900" s="4" t="s">
        <v>910</v>
      </c>
      <c r="I900">
        <v>1</v>
      </c>
    </row>
    <row r="901" spans="8:9" x14ac:dyDescent="0.25">
      <c r="H901" s="4" t="s">
        <v>911</v>
      </c>
      <c r="I901">
        <v>1</v>
      </c>
    </row>
    <row r="902" spans="8:9" x14ac:dyDescent="0.25">
      <c r="H902" s="4" t="s">
        <v>912</v>
      </c>
      <c r="I902">
        <v>1</v>
      </c>
    </row>
    <row r="903" spans="8:9" x14ac:dyDescent="0.25">
      <c r="H903" s="4" t="s">
        <v>913</v>
      </c>
      <c r="I903">
        <v>1</v>
      </c>
    </row>
    <row r="904" spans="8:9" x14ac:dyDescent="0.25">
      <c r="H904" s="4" t="s">
        <v>914</v>
      </c>
      <c r="I904">
        <v>1</v>
      </c>
    </row>
    <row r="905" spans="8:9" x14ac:dyDescent="0.25">
      <c r="H905" s="4" t="s">
        <v>915</v>
      </c>
      <c r="I905">
        <v>1</v>
      </c>
    </row>
    <row r="906" spans="8:9" x14ac:dyDescent="0.25">
      <c r="H906" s="4" t="s">
        <v>916</v>
      </c>
      <c r="I906">
        <v>1</v>
      </c>
    </row>
    <row r="907" spans="8:9" x14ac:dyDescent="0.25">
      <c r="H907" s="4" t="s">
        <v>917</v>
      </c>
      <c r="I907">
        <v>1</v>
      </c>
    </row>
    <row r="908" spans="8:9" x14ac:dyDescent="0.25">
      <c r="H908" s="4" t="s">
        <v>918</v>
      </c>
      <c r="I908">
        <v>1</v>
      </c>
    </row>
    <row r="909" spans="8:9" x14ac:dyDescent="0.25">
      <c r="H909" s="4" t="s">
        <v>919</v>
      </c>
      <c r="I909">
        <v>1</v>
      </c>
    </row>
    <row r="910" spans="8:9" x14ac:dyDescent="0.25">
      <c r="H910" s="4" t="s">
        <v>920</v>
      </c>
      <c r="I910">
        <v>1</v>
      </c>
    </row>
    <row r="911" spans="8:9" x14ac:dyDescent="0.25">
      <c r="H911" s="4" t="s">
        <v>921</v>
      </c>
      <c r="I911">
        <v>1</v>
      </c>
    </row>
    <row r="912" spans="8:9" x14ac:dyDescent="0.25">
      <c r="H912" s="4" t="s">
        <v>922</v>
      </c>
      <c r="I912">
        <v>1</v>
      </c>
    </row>
    <row r="913" spans="8:9" x14ac:dyDescent="0.25">
      <c r="H913" s="4" t="s">
        <v>923</v>
      </c>
      <c r="I913">
        <v>1</v>
      </c>
    </row>
    <row r="914" spans="8:9" x14ac:dyDescent="0.25">
      <c r="H914" s="4" t="s">
        <v>924</v>
      </c>
      <c r="I914">
        <v>1</v>
      </c>
    </row>
    <row r="915" spans="8:9" x14ac:dyDescent="0.25">
      <c r="H915" s="4" t="s">
        <v>925</v>
      </c>
      <c r="I915">
        <v>1</v>
      </c>
    </row>
    <row r="916" spans="8:9" x14ac:dyDescent="0.25">
      <c r="H916" s="4" t="s">
        <v>926</v>
      </c>
      <c r="I916">
        <v>1</v>
      </c>
    </row>
    <row r="917" spans="8:9" x14ac:dyDescent="0.25">
      <c r="H917" s="4" t="s">
        <v>927</v>
      </c>
      <c r="I917">
        <v>1</v>
      </c>
    </row>
    <row r="918" spans="8:9" x14ac:dyDescent="0.25">
      <c r="H918" s="4" t="s">
        <v>928</v>
      </c>
      <c r="I918">
        <v>1</v>
      </c>
    </row>
    <row r="919" spans="8:9" x14ac:dyDescent="0.25">
      <c r="H919" s="4" t="s">
        <v>929</v>
      </c>
      <c r="I919">
        <v>1</v>
      </c>
    </row>
    <row r="920" spans="8:9" x14ac:dyDescent="0.25">
      <c r="H920" s="4" t="s">
        <v>930</v>
      </c>
      <c r="I920">
        <v>1</v>
      </c>
    </row>
    <row r="921" spans="8:9" x14ac:dyDescent="0.25">
      <c r="H921" s="4" t="s">
        <v>931</v>
      </c>
      <c r="I921">
        <v>1</v>
      </c>
    </row>
    <row r="922" spans="8:9" x14ac:dyDescent="0.25">
      <c r="H922" s="4" t="s">
        <v>932</v>
      </c>
      <c r="I922">
        <v>1</v>
      </c>
    </row>
    <row r="923" spans="8:9" x14ac:dyDescent="0.25">
      <c r="H923" s="4" t="s">
        <v>933</v>
      </c>
      <c r="I923">
        <v>1</v>
      </c>
    </row>
    <row r="924" spans="8:9" x14ac:dyDescent="0.25">
      <c r="H924" s="4" t="s">
        <v>934</v>
      </c>
      <c r="I924">
        <v>1</v>
      </c>
    </row>
    <row r="925" spans="8:9" x14ac:dyDescent="0.25">
      <c r="H925" s="4" t="s">
        <v>935</v>
      </c>
      <c r="I925">
        <v>1</v>
      </c>
    </row>
    <row r="926" spans="8:9" x14ac:dyDescent="0.25">
      <c r="H926" s="4" t="s">
        <v>936</v>
      </c>
      <c r="I926">
        <v>1</v>
      </c>
    </row>
    <row r="927" spans="8:9" x14ac:dyDescent="0.25">
      <c r="H927" s="4" t="s">
        <v>937</v>
      </c>
      <c r="I927">
        <v>1</v>
      </c>
    </row>
    <row r="928" spans="8:9" x14ac:dyDescent="0.25">
      <c r="H928" s="4" t="s">
        <v>938</v>
      </c>
      <c r="I928">
        <v>1</v>
      </c>
    </row>
    <row r="929" spans="8:9" x14ac:dyDescent="0.25">
      <c r="H929" s="4" t="s">
        <v>939</v>
      </c>
      <c r="I929">
        <v>1</v>
      </c>
    </row>
    <row r="930" spans="8:9" x14ac:dyDescent="0.25">
      <c r="H930" s="4" t="s">
        <v>940</v>
      </c>
      <c r="I930">
        <v>1</v>
      </c>
    </row>
    <row r="931" spans="8:9" x14ac:dyDescent="0.25">
      <c r="H931" s="4" t="s">
        <v>941</v>
      </c>
      <c r="I931">
        <v>1</v>
      </c>
    </row>
    <row r="932" spans="8:9" x14ac:dyDescent="0.25">
      <c r="H932" s="4" t="s">
        <v>942</v>
      </c>
      <c r="I932">
        <v>1</v>
      </c>
    </row>
    <row r="933" spans="8:9" x14ac:dyDescent="0.25">
      <c r="H933" s="4" t="s">
        <v>943</v>
      </c>
      <c r="I933">
        <v>1</v>
      </c>
    </row>
    <row r="934" spans="8:9" x14ac:dyDescent="0.25">
      <c r="H934" s="4" t="s">
        <v>944</v>
      </c>
      <c r="I934">
        <v>1</v>
      </c>
    </row>
    <row r="935" spans="8:9" x14ac:dyDescent="0.25">
      <c r="H935" s="4" t="s">
        <v>945</v>
      </c>
      <c r="I935">
        <v>1</v>
      </c>
    </row>
    <row r="936" spans="8:9" x14ac:dyDescent="0.25">
      <c r="H936" s="4" t="s">
        <v>946</v>
      </c>
      <c r="I936">
        <v>1</v>
      </c>
    </row>
    <row r="937" spans="8:9" x14ac:dyDescent="0.25">
      <c r="H937" s="4" t="s">
        <v>947</v>
      </c>
      <c r="I937">
        <v>1</v>
      </c>
    </row>
    <row r="938" spans="8:9" x14ac:dyDescent="0.25">
      <c r="H938" s="4" t="s">
        <v>948</v>
      </c>
      <c r="I938">
        <v>1</v>
      </c>
    </row>
    <row r="939" spans="8:9" x14ac:dyDescent="0.25">
      <c r="H939" s="4" t="s">
        <v>949</v>
      </c>
      <c r="I939">
        <v>1</v>
      </c>
    </row>
    <row r="940" spans="8:9" x14ac:dyDescent="0.25">
      <c r="H940" s="4" t="s">
        <v>950</v>
      </c>
      <c r="I940">
        <v>1</v>
      </c>
    </row>
    <row r="941" spans="8:9" x14ac:dyDescent="0.25">
      <c r="H941" s="4" t="s">
        <v>951</v>
      </c>
      <c r="I941">
        <v>1</v>
      </c>
    </row>
    <row r="942" spans="8:9" x14ac:dyDescent="0.25">
      <c r="H942" s="4" t="s">
        <v>952</v>
      </c>
      <c r="I942">
        <v>1</v>
      </c>
    </row>
    <row r="943" spans="8:9" x14ac:dyDescent="0.25">
      <c r="H943" s="4" t="s">
        <v>953</v>
      </c>
      <c r="I943">
        <v>1</v>
      </c>
    </row>
    <row r="944" spans="8:9" x14ac:dyDescent="0.25">
      <c r="H944" s="4" t="s">
        <v>954</v>
      </c>
      <c r="I944">
        <v>1</v>
      </c>
    </row>
    <row r="945" spans="8:9" x14ac:dyDescent="0.25">
      <c r="H945" s="4" t="s">
        <v>955</v>
      </c>
      <c r="I945">
        <v>1</v>
      </c>
    </row>
    <row r="946" spans="8:9" x14ac:dyDescent="0.25">
      <c r="H946" s="4" t="s">
        <v>956</v>
      </c>
      <c r="I946">
        <v>1</v>
      </c>
    </row>
    <row r="947" spans="8:9" x14ac:dyDescent="0.25">
      <c r="H947" s="4" t="s">
        <v>957</v>
      </c>
      <c r="I947">
        <v>1</v>
      </c>
    </row>
    <row r="948" spans="8:9" x14ac:dyDescent="0.25">
      <c r="H948" s="4" t="s">
        <v>958</v>
      </c>
      <c r="I948">
        <v>1</v>
      </c>
    </row>
    <row r="949" spans="8:9" x14ac:dyDescent="0.25">
      <c r="H949" s="4" t="s">
        <v>959</v>
      </c>
      <c r="I949">
        <v>1</v>
      </c>
    </row>
    <row r="950" spans="8:9" x14ac:dyDescent="0.25">
      <c r="H950" s="4" t="s">
        <v>960</v>
      </c>
      <c r="I950">
        <v>1</v>
      </c>
    </row>
    <row r="951" spans="8:9" x14ac:dyDescent="0.25">
      <c r="H951" s="4" t="s">
        <v>961</v>
      </c>
      <c r="I951">
        <v>1</v>
      </c>
    </row>
    <row r="952" spans="8:9" x14ac:dyDescent="0.25">
      <c r="H952" s="4" t="s">
        <v>962</v>
      </c>
      <c r="I952">
        <v>1</v>
      </c>
    </row>
    <row r="953" spans="8:9" x14ac:dyDescent="0.25">
      <c r="H953" s="4" t="s">
        <v>963</v>
      </c>
      <c r="I953">
        <v>1</v>
      </c>
    </row>
    <row r="954" spans="8:9" x14ac:dyDescent="0.25">
      <c r="H954" s="4" t="s">
        <v>964</v>
      </c>
      <c r="I954">
        <v>1</v>
      </c>
    </row>
    <row r="955" spans="8:9" x14ac:dyDescent="0.25">
      <c r="H955" s="4" t="s">
        <v>965</v>
      </c>
      <c r="I955">
        <v>1</v>
      </c>
    </row>
    <row r="956" spans="8:9" x14ac:dyDescent="0.25">
      <c r="H956" s="4" t="s">
        <v>966</v>
      </c>
      <c r="I956">
        <v>1</v>
      </c>
    </row>
    <row r="957" spans="8:9" x14ac:dyDescent="0.25">
      <c r="H957" s="4" t="s">
        <v>967</v>
      </c>
      <c r="I957">
        <v>1</v>
      </c>
    </row>
    <row r="958" spans="8:9" x14ac:dyDescent="0.25">
      <c r="H958" s="4" t="s">
        <v>968</v>
      </c>
      <c r="I958">
        <v>1</v>
      </c>
    </row>
    <row r="959" spans="8:9" x14ac:dyDescent="0.25">
      <c r="H959" s="4" t="s">
        <v>969</v>
      </c>
      <c r="I959">
        <v>1</v>
      </c>
    </row>
    <row r="960" spans="8:9" x14ac:dyDescent="0.25">
      <c r="H960" s="4" t="s">
        <v>970</v>
      </c>
      <c r="I960">
        <v>1</v>
      </c>
    </row>
    <row r="961" spans="8:9" x14ac:dyDescent="0.25">
      <c r="H961" s="4" t="s">
        <v>971</v>
      </c>
      <c r="I961">
        <v>1</v>
      </c>
    </row>
    <row r="962" spans="8:9" x14ac:dyDescent="0.25">
      <c r="H962" s="4" t="s">
        <v>972</v>
      </c>
      <c r="I962">
        <v>1</v>
      </c>
    </row>
    <row r="963" spans="8:9" x14ac:dyDescent="0.25">
      <c r="H963" s="4" t="s">
        <v>973</v>
      </c>
      <c r="I963">
        <v>1</v>
      </c>
    </row>
    <row r="964" spans="8:9" x14ac:dyDescent="0.25">
      <c r="H964" s="4" t="s">
        <v>974</v>
      </c>
      <c r="I964">
        <v>1</v>
      </c>
    </row>
    <row r="965" spans="8:9" x14ac:dyDescent="0.25">
      <c r="H965" s="4" t="s">
        <v>975</v>
      </c>
      <c r="I965">
        <v>1</v>
      </c>
    </row>
    <row r="966" spans="8:9" x14ac:dyDescent="0.25">
      <c r="H966" s="4" t="s">
        <v>976</v>
      </c>
      <c r="I966">
        <v>1</v>
      </c>
    </row>
    <row r="967" spans="8:9" x14ac:dyDescent="0.25">
      <c r="H967" s="4" t="s">
        <v>977</v>
      </c>
      <c r="I967">
        <v>1</v>
      </c>
    </row>
    <row r="968" spans="8:9" x14ac:dyDescent="0.25">
      <c r="H968" s="4" t="s">
        <v>978</v>
      </c>
      <c r="I968">
        <v>1</v>
      </c>
    </row>
    <row r="969" spans="8:9" x14ac:dyDescent="0.25">
      <c r="H969" s="4" t="s">
        <v>979</v>
      </c>
      <c r="I969">
        <v>1</v>
      </c>
    </row>
    <row r="970" spans="8:9" x14ac:dyDescent="0.25">
      <c r="H970" s="4" t="s">
        <v>980</v>
      </c>
      <c r="I970">
        <v>1</v>
      </c>
    </row>
    <row r="971" spans="8:9" x14ac:dyDescent="0.25">
      <c r="H971" s="4" t="s">
        <v>981</v>
      </c>
      <c r="I971">
        <v>1</v>
      </c>
    </row>
    <row r="972" spans="8:9" x14ac:dyDescent="0.25">
      <c r="H972" s="4" t="s">
        <v>982</v>
      </c>
      <c r="I972">
        <v>1</v>
      </c>
    </row>
    <row r="973" spans="8:9" x14ac:dyDescent="0.25">
      <c r="H973" s="4" t="s">
        <v>983</v>
      </c>
      <c r="I973">
        <v>1</v>
      </c>
    </row>
    <row r="974" spans="8:9" x14ac:dyDescent="0.25">
      <c r="H974" s="4" t="s">
        <v>984</v>
      </c>
      <c r="I974">
        <v>1</v>
      </c>
    </row>
    <row r="975" spans="8:9" x14ac:dyDescent="0.25">
      <c r="H975" s="4" t="s">
        <v>985</v>
      </c>
      <c r="I975">
        <v>1</v>
      </c>
    </row>
    <row r="976" spans="8:9" x14ac:dyDescent="0.25">
      <c r="H976" s="4" t="s">
        <v>986</v>
      </c>
      <c r="I976">
        <v>1</v>
      </c>
    </row>
    <row r="977" spans="8:9" x14ac:dyDescent="0.25">
      <c r="H977" s="4" t="s">
        <v>987</v>
      </c>
      <c r="I977">
        <v>1</v>
      </c>
    </row>
    <row r="978" spans="8:9" x14ac:dyDescent="0.25">
      <c r="H978" s="4" t="s">
        <v>988</v>
      </c>
      <c r="I978">
        <v>1</v>
      </c>
    </row>
    <row r="979" spans="8:9" x14ac:dyDescent="0.25">
      <c r="H979" s="4" t="s">
        <v>989</v>
      </c>
      <c r="I979">
        <v>1</v>
      </c>
    </row>
    <row r="980" spans="8:9" x14ac:dyDescent="0.25">
      <c r="H980" s="4" t="s">
        <v>990</v>
      </c>
      <c r="I980">
        <v>1</v>
      </c>
    </row>
    <row r="981" spans="8:9" x14ac:dyDescent="0.25">
      <c r="H981" s="4" t="s">
        <v>991</v>
      </c>
      <c r="I981">
        <v>1</v>
      </c>
    </row>
    <row r="982" spans="8:9" x14ac:dyDescent="0.25">
      <c r="H982" s="4" t="s">
        <v>992</v>
      </c>
      <c r="I982">
        <v>1</v>
      </c>
    </row>
    <row r="983" spans="8:9" x14ac:dyDescent="0.25">
      <c r="H983" s="4" t="s">
        <v>993</v>
      </c>
      <c r="I983">
        <v>1</v>
      </c>
    </row>
    <row r="984" spans="8:9" x14ac:dyDescent="0.25">
      <c r="H984" s="4" t="s">
        <v>994</v>
      </c>
      <c r="I984">
        <v>1</v>
      </c>
    </row>
    <row r="985" spans="8:9" x14ac:dyDescent="0.25">
      <c r="H985" s="4" t="s">
        <v>995</v>
      </c>
      <c r="I985">
        <v>1</v>
      </c>
    </row>
    <row r="986" spans="8:9" x14ac:dyDescent="0.25">
      <c r="H986" s="4" t="s">
        <v>996</v>
      </c>
      <c r="I986">
        <v>1</v>
      </c>
    </row>
    <row r="987" spans="8:9" x14ac:dyDescent="0.25">
      <c r="H987" s="4" t="s">
        <v>997</v>
      </c>
      <c r="I987">
        <v>1</v>
      </c>
    </row>
    <row r="988" spans="8:9" x14ac:dyDescent="0.25">
      <c r="H988" s="4" t="s">
        <v>998</v>
      </c>
      <c r="I988">
        <v>1</v>
      </c>
    </row>
    <row r="989" spans="8:9" x14ac:dyDescent="0.25">
      <c r="H989" s="4" t="s">
        <v>999</v>
      </c>
      <c r="I989">
        <v>1</v>
      </c>
    </row>
    <row r="990" spans="8:9" x14ac:dyDescent="0.25">
      <c r="H990" s="4" t="s">
        <v>1000</v>
      </c>
      <c r="I990">
        <v>1</v>
      </c>
    </row>
    <row r="991" spans="8:9" x14ac:dyDescent="0.25">
      <c r="H991" s="4" t="s">
        <v>1001</v>
      </c>
      <c r="I991">
        <v>1</v>
      </c>
    </row>
    <row r="992" spans="8:9" x14ac:dyDescent="0.25">
      <c r="H992" s="4" t="s">
        <v>1002</v>
      </c>
      <c r="I992">
        <v>1</v>
      </c>
    </row>
    <row r="993" spans="8:9" x14ac:dyDescent="0.25">
      <c r="H993" s="4" t="s">
        <v>1003</v>
      </c>
      <c r="I993">
        <v>1</v>
      </c>
    </row>
    <row r="994" spans="8:9" x14ac:dyDescent="0.25">
      <c r="H994" s="4" t="s">
        <v>1004</v>
      </c>
      <c r="I994">
        <v>1</v>
      </c>
    </row>
    <row r="995" spans="8:9" x14ac:dyDescent="0.25">
      <c r="H995" s="4" t="s">
        <v>1005</v>
      </c>
      <c r="I995">
        <v>1</v>
      </c>
    </row>
    <row r="996" spans="8:9" x14ac:dyDescent="0.25">
      <c r="H996" s="4" t="s">
        <v>1006</v>
      </c>
      <c r="I996">
        <v>1</v>
      </c>
    </row>
    <row r="997" spans="8:9" x14ac:dyDescent="0.25">
      <c r="H997" s="4" t="s">
        <v>1007</v>
      </c>
      <c r="I997">
        <v>1</v>
      </c>
    </row>
    <row r="998" spans="8:9" x14ac:dyDescent="0.25">
      <c r="H998" s="4" t="s">
        <v>1008</v>
      </c>
      <c r="I998">
        <v>1</v>
      </c>
    </row>
    <row r="999" spans="8:9" x14ac:dyDescent="0.25">
      <c r="H999" s="4" t="s">
        <v>1009</v>
      </c>
      <c r="I999">
        <v>1</v>
      </c>
    </row>
    <row r="1000" spans="8:9" x14ac:dyDescent="0.25">
      <c r="H1000" s="4" t="s">
        <v>1010</v>
      </c>
      <c r="I1000">
        <v>1</v>
      </c>
    </row>
    <row r="1001" spans="8:9" x14ac:dyDescent="0.25">
      <c r="H1001" s="4" t="s">
        <v>1011</v>
      </c>
      <c r="I1001">
        <v>1</v>
      </c>
    </row>
    <row r="1002" spans="8:9" x14ac:dyDescent="0.25">
      <c r="H1002" s="4" t="s">
        <v>1012</v>
      </c>
      <c r="I1002">
        <v>1</v>
      </c>
    </row>
    <row r="1003" spans="8:9" x14ac:dyDescent="0.25">
      <c r="H1003" s="4" t="s">
        <v>1015</v>
      </c>
      <c r="I1003">
        <v>1000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1861-04F5-4F61-82F3-69467A835D20}">
  <dimension ref="A1:L1001"/>
  <sheetViews>
    <sheetView workbookViewId="0">
      <selection activeCell="H1" sqref="H1:H1048576"/>
    </sheetView>
  </sheetViews>
  <sheetFormatPr defaultRowHeight="15" x14ac:dyDescent="0.25"/>
  <cols>
    <col min="1" max="1" width="16" customWidth="1"/>
    <col min="2" max="2" width="10.42578125" bestFit="1" customWidth="1"/>
    <col min="3" max="3" width="14.5703125" customWidth="1"/>
    <col min="4" max="4" width="9.85546875" customWidth="1"/>
    <col min="5" max="5" width="9.140625" style="2"/>
    <col min="6" max="6" width="18.7109375" customWidth="1"/>
    <col min="7" max="7" width="10.85546875" style="2" customWidth="1"/>
    <col min="8" max="8" width="15.28515625" style="15" customWidth="1"/>
    <col min="9" max="9" width="15" style="14" customWidth="1"/>
  </cols>
  <sheetData>
    <row r="1" spans="1:12" x14ac:dyDescent="0.25">
      <c r="A1" t="s">
        <v>0</v>
      </c>
      <c r="B1" s="1" t="s">
        <v>1</v>
      </c>
      <c r="C1" t="s">
        <v>2</v>
      </c>
      <c r="D1" t="s">
        <v>3</v>
      </c>
      <c r="E1" s="2" t="s">
        <v>4</v>
      </c>
      <c r="F1" t="s">
        <v>5</v>
      </c>
      <c r="G1" s="2" t="s">
        <v>6</v>
      </c>
      <c r="H1" s="15" t="s">
        <v>7</v>
      </c>
      <c r="I1" s="14" t="s">
        <v>8</v>
      </c>
      <c r="K1" t="s">
        <v>1017</v>
      </c>
      <c r="L1" t="s">
        <v>1018</v>
      </c>
    </row>
    <row r="2" spans="1:12" x14ac:dyDescent="0.25">
      <c r="A2">
        <v>1</v>
      </c>
      <c r="B2" s="1" t="d">
        <v>2023-11-24</v>
      </c>
      <c r="C2" t="s">
        <v>9</v>
      </c>
      <c r="D2" t="s">
        <v>10</v>
      </c>
      <c r="E2" s="2">
        <v>34</v>
      </c>
      <c r="F2" t="s">
        <v>11</v>
      </c>
      <c r="G2" s="2">
        <v>3</v>
      </c>
      <c r="H2" s="15">
        <v>50</v>
      </c>
      <c r="I2" s="14">
        <v>150</v>
      </c>
    </row>
    <row r="3" spans="1:12" x14ac:dyDescent="0.25">
      <c r="A3">
        <v>2</v>
      </c>
      <c r="B3" s="1" t="d">
        <v>2023-02-27</v>
      </c>
      <c r="C3" t="s">
        <v>12</v>
      </c>
      <c r="D3" t="s">
        <v>13</v>
      </c>
      <c r="E3" s="2">
        <v>26</v>
      </c>
      <c r="F3" t="s">
        <v>14</v>
      </c>
      <c r="G3" s="2">
        <v>2</v>
      </c>
      <c r="H3" s="15">
        <v>500</v>
      </c>
      <c r="I3" s="14">
        <v>1000</v>
      </c>
    </row>
    <row r="4" spans="1:12" x14ac:dyDescent="0.25">
      <c r="A4">
        <v>3</v>
      </c>
      <c r="B4" s="1" t="d">
        <v>2023-01-13</v>
      </c>
      <c r="C4" t="s">
        <v>15</v>
      </c>
      <c r="D4" t="s">
        <v>10</v>
      </c>
      <c r="E4" s="2">
        <v>50</v>
      </c>
      <c r="F4" t="s">
        <v>16</v>
      </c>
      <c r="G4" s="2">
        <v>1</v>
      </c>
      <c r="H4" s="15">
        <v>30</v>
      </c>
      <c r="I4" s="14">
        <v>30</v>
      </c>
    </row>
    <row r="5" spans="1:12" x14ac:dyDescent="0.25">
      <c r="A5">
        <v>4</v>
      </c>
      <c r="B5" s="1" t="d">
        <v>2023-05-21</v>
      </c>
      <c r="C5" t="s">
        <v>17</v>
      </c>
      <c r="D5" t="s">
        <v>10</v>
      </c>
      <c r="E5" s="2">
        <v>37</v>
      </c>
      <c r="F5" t="s">
        <v>14</v>
      </c>
      <c r="G5" s="2">
        <v>1</v>
      </c>
      <c r="H5" s="15">
        <v>500</v>
      </c>
      <c r="I5" s="14">
        <v>500</v>
      </c>
    </row>
    <row r="6" spans="1:12" x14ac:dyDescent="0.25">
      <c r="A6">
        <v>5</v>
      </c>
      <c r="B6" s="1" t="d">
        <v>2023-05-06</v>
      </c>
      <c r="C6" t="s">
        <v>18</v>
      </c>
      <c r="D6" t="s">
        <v>10</v>
      </c>
      <c r="E6" s="2">
        <v>30</v>
      </c>
      <c r="F6" t="s">
        <v>11</v>
      </c>
      <c r="G6" s="2">
        <v>2</v>
      </c>
      <c r="H6" s="15">
        <v>50</v>
      </c>
      <c r="I6" s="14">
        <v>100</v>
      </c>
    </row>
    <row r="7" spans="1:12" x14ac:dyDescent="0.25">
      <c r="A7">
        <v>6</v>
      </c>
      <c r="B7" s="1" t="d">
        <v>2023-04-25</v>
      </c>
      <c r="C7" t="s">
        <v>19</v>
      </c>
      <c r="D7" t="s">
        <v>13</v>
      </c>
      <c r="E7" s="2">
        <v>45</v>
      </c>
      <c r="F7" t="s">
        <v>11</v>
      </c>
      <c r="G7" s="2">
        <v>1</v>
      </c>
      <c r="H7" s="15">
        <v>30</v>
      </c>
      <c r="I7" s="14">
        <v>30</v>
      </c>
    </row>
    <row r="8" spans="1:12" x14ac:dyDescent="0.25">
      <c r="A8">
        <v>7</v>
      </c>
      <c r="B8" s="1" t="d">
        <v>2023-03-13</v>
      </c>
      <c r="C8" t="s">
        <v>20</v>
      </c>
      <c r="D8" t="s">
        <v>10</v>
      </c>
      <c r="E8" s="2">
        <v>46</v>
      </c>
      <c r="F8" t="s">
        <v>14</v>
      </c>
      <c r="G8" s="2">
        <v>2</v>
      </c>
      <c r="H8" s="15">
        <v>25</v>
      </c>
      <c r="I8" s="14">
        <v>50</v>
      </c>
    </row>
    <row r="9" spans="1:12" x14ac:dyDescent="0.25">
      <c r="A9">
        <v>8</v>
      </c>
      <c r="B9" s="1" t="d">
        <v>2023-02-22</v>
      </c>
      <c r="C9" t="s">
        <v>21</v>
      </c>
      <c r="D9" t="s">
        <v>10</v>
      </c>
      <c r="E9" s="2">
        <v>30</v>
      </c>
      <c r="F9" t="s">
        <v>16</v>
      </c>
      <c r="G9" s="2">
        <v>4</v>
      </c>
      <c r="H9" s="15">
        <v>25</v>
      </c>
      <c r="I9" s="14">
        <v>100</v>
      </c>
    </row>
    <row r="10" spans="1:12" x14ac:dyDescent="0.25">
      <c r="A10">
        <v>9</v>
      </c>
      <c r="B10" s="1" t="d">
        <v>2023-12-13</v>
      </c>
      <c r="C10" t="s">
        <v>22</v>
      </c>
      <c r="D10" t="s">
        <v>10</v>
      </c>
      <c r="E10" s="2">
        <v>63</v>
      </c>
      <c r="F10" t="s">
        <v>16</v>
      </c>
      <c r="G10" s="2">
        <v>2</v>
      </c>
      <c r="H10" s="15">
        <v>300</v>
      </c>
      <c r="I10" s="14">
        <v>600</v>
      </c>
    </row>
    <row r="11" spans="1:12" x14ac:dyDescent="0.25">
      <c r="A11">
        <v>10</v>
      </c>
      <c r="B11" s="1" t="d">
        <v>2023-10-07</v>
      </c>
      <c r="C11" t="s">
        <v>23</v>
      </c>
      <c r="D11" t="s">
        <v>13</v>
      </c>
      <c r="E11" s="2">
        <v>52</v>
      </c>
      <c r="F11" t="s">
        <v>14</v>
      </c>
      <c r="G11" s="2">
        <v>4</v>
      </c>
      <c r="H11" s="15">
        <v>50</v>
      </c>
      <c r="I11" s="14">
        <v>200</v>
      </c>
    </row>
    <row r="12" spans="1:12" x14ac:dyDescent="0.25">
      <c r="A12">
        <v>11</v>
      </c>
      <c r="B12" s="1" t="d">
        <v>2023-02-14</v>
      </c>
      <c r="C12" t="s">
        <v>24</v>
      </c>
      <c r="D12" t="s">
        <v>10</v>
      </c>
      <c r="E12" s="2">
        <v>23</v>
      </c>
      <c r="F12" t="s">
        <v>14</v>
      </c>
      <c r="G12" s="2">
        <v>2</v>
      </c>
      <c r="H12" s="15">
        <v>50</v>
      </c>
      <c r="I12" s="14">
        <v>100</v>
      </c>
    </row>
    <row r="13" spans="1:12" x14ac:dyDescent="0.25">
      <c r="A13">
        <v>12</v>
      </c>
      <c r="B13" s="1" t="d">
        <v>2023-10-30</v>
      </c>
      <c r="C13" t="s">
        <v>25</v>
      </c>
      <c r="D13" t="s">
        <v>10</v>
      </c>
      <c r="E13" s="2">
        <v>35</v>
      </c>
      <c r="F13" t="s">
        <v>11</v>
      </c>
      <c r="G13" s="2">
        <v>3</v>
      </c>
      <c r="H13" s="15">
        <v>25</v>
      </c>
      <c r="I13" s="14">
        <v>75</v>
      </c>
    </row>
    <row r="14" spans="1:12" x14ac:dyDescent="0.25">
      <c r="A14">
        <v>13</v>
      </c>
      <c r="B14" s="1" t="d">
        <v>2023-08-05</v>
      </c>
      <c r="C14" t="s">
        <v>26</v>
      </c>
      <c r="D14" t="s">
        <v>10</v>
      </c>
      <c r="E14" s="2">
        <v>22</v>
      </c>
      <c r="F14" t="s">
        <v>16</v>
      </c>
      <c r="G14" s="2">
        <v>3</v>
      </c>
      <c r="H14" s="15">
        <v>500</v>
      </c>
      <c r="I14" s="14">
        <v>1500</v>
      </c>
    </row>
    <row r="15" spans="1:12" x14ac:dyDescent="0.25">
      <c r="A15">
        <v>14</v>
      </c>
      <c r="B15" s="1" t="d">
        <v>2023-01-17</v>
      </c>
      <c r="C15" t="s">
        <v>27</v>
      </c>
      <c r="D15" t="s">
        <v>10</v>
      </c>
      <c r="E15" s="2">
        <v>64</v>
      </c>
      <c r="F15" t="s">
        <v>14</v>
      </c>
      <c r="G15" s="2">
        <v>4</v>
      </c>
      <c r="H15" s="15">
        <v>30</v>
      </c>
      <c r="I15" s="14">
        <v>120</v>
      </c>
    </row>
    <row r="16" spans="1:12" x14ac:dyDescent="0.25">
      <c r="A16">
        <v>15</v>
      </c>
      <c r="B16" s="1" t="d">
        <v>2023-01-16</v>
      </c>
      <c r="C16" t="s">
        <v>28</v>
      </c>
      <c r="D16" t="s">
        <v>13</v>
      </c>
      <c r="E16" s="2">
        <v>42</v>
      </c>
      <c r="F16" t="s">
        <v>16</v>
      </c>
      <c r="G16" s="2">
        <v>4</v>
      </c>
      <c r="H16" s="15">
        <v>500</v>
      </c>
      <c r="I16" s="14">
        <v>2000</v>
      </c>
    </row>
    <row r="17" spans="1:9" x14ac:dyDescent="0.25">
      <c r="A17">
        <v>16</v>
      </c>
      <c r="B17" s="1" t="d">
        <v>2023-02-17</v>
      </c>
      <c r="C17" t="s">
        <v>29</v>
      </c>
      <c r="D17" t="s">
        <v>10</v>
      </c>
      <c r="E17" s="2">
        <v>19</v>
      </c>
      <c r="F17" t="s">
        <v>14</v>
      </c>
      <c r="G17" s="2">
        <v>3</v>
      </c>
      <c r="H17" s="15">
        <v>500</v>
      </c>
      <c r="I17" s="14">
        <v>1500</v>
      </c>
    </row>
    <row r="18" spans="1:9" x14ac:dyDescent="0.25">
      <c r="A18">
        <v>17</v>
      </c>
      <c r="B18" s="1" t="d">
        <v>2023-04-22</v>
      </c>
      <c r="C18" t="s">
        <v>30</v>
      </c>
      <c r="D18" t="s">
        <v>13</v>
      </c>
      <c r="E18" s="2">
        <v>27</v>
      </c>
      <c r="F18" t="s">
        <v>14</v>
      </c>
      <c r="G18" s="2">
        <v>4</v>
      </c>
      <c r="H18" s="15">
        <v>25</v>
      </c>
      <c r="I18" s="14">
        <v>100</v>
      </c>
    </row>
    <row r="19" spans="1:9" x14ac:dyDescent="0.25">
      <c r="A19">
        <v>18</v>
      </c>
      <c r="B19" s="1" t="d">
        <v>2023-04-30</v>
      </c>
      <c r="C19" t="s">
        <v>31</v>
      </c>
      <c r="D19" t="s">
        <v>13</v>
      </c>
      <c r="E19" s="2">
        <v>47</v>
      </c>
      <c r="F19" t="s">
        <v>16</v>
      </c>
      <c r="G19" s="2">
        <v>2</v>
      </c>
      <c r="H19" s="15">
        <v>25</v>
      </c>
      <c r="I19" s="14">
        <v>50</v>
      </c>
    </row>
    <row r="20" spans="1:9" x14ac:dyDescent="0.25">
      <c r="A20">
        <v>19</v>
      </c>
      <c r="B20" s="1" t="d">
        <v>2023-09-16</v>
      </c>
      <c r="C20" t="s">
        <v>32</v>
      </c>
      <c r="D20" t="s">
        <v>13</v>
      </c>
      <c r="E20" s="2">
        <v>62</v>
      </c>
      <c r="F20" t="s">
        <v>14</v>
      </c>
      <c r="G20" s="2">
        <v>2</v>
      </c>
      <c r="H20" s="15">
        <v>25</v>
      </c>
      <c r="I20" s="14">
        <v>50</v>
      </c>
    </row>
    <row r="21" spans="1:9" x14ac:dyDescent="0.25">
      <c r="A21">
        <v>20</v>
      </c>
      <c r="B21" s="1" t="d">
        <v>2023-11-05</v>
      </c>
      <c r="C21" t="s">
        <v>33</v>
      </c>
      <c r="D21" t="s">
        <v>10</v>
      </c>
      <c r="E21" s="2">
        <v>22</v>
      </c>
      <c r="F21" t="s">
        <v>14</v>
      </c>
      <c r="G21" s="2">
        <v>3</v>
      </c>
      <c r="H21" s="15">
        <v>300</v>
      </c>
      <c r="I21" s="14">
        <v>900</v>
      </c>
    </row>
    <row r="22" spans="1:9" x14ac:dyDescent="0.25">
      <c r="A22">
        <v>21</v>
      </c>
      <c r="B22" s="1" t="d">
        <v>2023-01-14</v>
      </c>
      <c r="C22" t="s">
        <v>34</v>
      </c>
      <c r="D22" t="s">
        <v>13</v>
      </c>
      <c r="E22" s="2">
        <v>50</v>
      </c>
      <c r="F22" t="s">
        <v>11</v>
      </c>
      <c r="G22" s="2">
        <v>1</v>
      </c>
      <c r="H22" s="15">
        <v>500</v>
      </c>
      <c r="I22" s="14">
        <v>500</v>
      </c>
    </row>
    <row r="23" spans="1:9" x14ac:dyDescent="0.25">
      <c r="A23">
        <v>22</v>
      </c>
      <c r="B23" s="1" t="d">
        <v>2023-10-15</v>
      </c>
      <c r="C23" t="s">
        <v>35</v>
      </c>
      <c r="D23" t="s">
        <v>10</v>
      </c>
      <c r="E23" s="2">
        <v>18</v>
      </c>
      <c r="F23" t="s">
        <v>14</v>
      </c>
      <c r="G23" s="2">
        <v>2</v>
      </c>
      <c r="H23" s="15">
        <v>50</v>
      </c>
      <c r="I23" s="14">
        <v>100</v>
      </c>
    </row>
    <row r="24" spans="1:9" x14ac:dyDescent="0.25">
      <c r="A24">
        <v>23</v>
      </c>
      <c r="B24" s="1" t="d">
        <v>2023-04-12</v>
      </c>
      <c r="C24" t="s">
        <v>36</v>
      </c>
      <c r="D24" t="s">
        <v>13</v>
      </c>
      <c r="E24" s="2">
        <v>35</v>
      </c>
      <c r="F24" t="s">
        <v>14</v>
      </c>
      <c r="G24" s="2">
        <v>4</v>
      </c>
      <c r="H24" s="15">
        <v>30</v>
      </c>
      <c r="I24" s="14">
        <v>120</v>
      </c>
    </row>
    <row r="25" spans="1:9" x14ac:dyDescent="0.25">
      <c r="A25">
        <v>24</v>
      </c>
      <c r="B25" s="1" t="d">
        <v>2023-11-29</v>
      </c>
      <c r="C25" t="s">
        <v>37</v>
      </c>
      <c r="D25" t="s">
        <v>13</v>
      </c>
      <c r="E25" s="2">
        <v>49</v>
      </c>
      <c r="F25" t="s">
        <v>14</v>
      </c>
      <c r="G25" s="2">
        <v>1</v>
      </c>
      <c r="H25" s="15">
        <v>300</v>
      </c>
      <c r="I25" s="14">
        <v>300</v>
      </c>
    </row>
    <row r="26" spans="1:9" x14ac:dyDescent="0.25">
      <c r="A26">
        <v>25</v>
      </c>
      <c r="B26" s="1" t="d">
        <v>2023-12-26</v>
      </c>
      <c r="C26" t="s">
        <v>38</v>
      </c>
      <c r="D26" t="s">
        <v>13</v>
      </c>
      <c r="E26" s="2">
        <v>64</v>
      </c>
      <c r="F26" t="s">
        <v>11</v>
      </c>
      <c r="G26" s="2">
        <v>1</v>
      </c>
      <c r="H26" s="15">
        <v>50</v>
      </c>
      <c r="I26" s="14">
        <v>50</v>
      </c>
    </row>
    <row r="27" spans="1:9" x14ac:dyDescent="0.25">
      <c r="A27">
        <v>26</v>
      </c>
      <c r="B27" s="1" t="d">
        <v>2023-10-07</v>
      </c>
      <c r="C27" t="s">
        <v>39</v>
      </c>
      <c r="D27" t="s">
        <v>13</v>
      </c>
      <c r="E27" s="2">
        <v>28</v>
      </c>
      <c r="F27" t="s">
        <v>16</v>
      </c>
      <c r="G27" s="2">
        <v>2</v>
      </c>
      <c r="H27" s="15">
        <v>500</v>
      </c>
      <c r="I27" s="14">
        <v>1000</v>
      </c>
    </row>
    <row r="28" spans="1:9" x14ac:dyDescent="0.25">
      <c r="A28">
        <v>27</v>
      </c>
      <c r="B28" s="1" t="d">
        <v>2023-08-03</v>
      </c>
      <c r="C28" t="s">
        <v>40</v>
      </c>
      <c r="D28" t="s">
        <v>13</v>
      </c>
      <c r="E28" s="2">
        <v>38</v>
      </c>
      <c r="F28" t="s">
        <v>11</v>
      </c>
      <c r="G28" s="2">
        <v>2</v>
      </c>
      <c r="H28" s="15">
        <v>25</v>
      </c>
      <c r="I28" s="14">
        <v>50</v>
      </c>
    </row>
    <row r="29" spans="1:9" x14ac:dyDescent="0.25">
      <c r="A29">
        <v>28</v>
      </c>
      <c r="B29" s="1" t="d">
        <v>2023-04-23</v>
      </c>
      <c r="C29" t="s">
        <v>41</v>
      </c>
      <c r="D29" t="s">
        <v>13</v>
      </c>
      <c r="E29" s="2">
        <v>43</v>
      </c>
      <c r="F29" t="s">
        <v>11</v>
      </c>
      <c r="G29" s="2">
        <v>1</v>
      </c>
      <c r="H29" s="15">
        <v>500</v>
      </c>
      <c r="I29" s="14">
        <v>500</v>
      </c>
    </row>
    <row r="30" spans="1:9" x14ac:dyDescent="0.25">
      <c r="A30">
        <v>29</v>
      </c>
      <c r="B30" s="1" t="d">
        <v>2023-08-18</v>
      </c>
      <c r="C30" t="s">
        <v>42</v>
      </c>
      <c r="D30" t="s">
        <v>13</v>
      </c>
      <c r="E30" s="2">
        <v>42</v>
      </c>
      <c r="F30" t="s">
        <v>16</v>
      </c>
      <c r="G30" s="2">
        <v>1</v>
      </c>
      <c r="H30" s="15">
        <v>30</v>
      </c>
      <c r="I30" s="14">
        <v>30</v>
      </c>
    </row>
    <row r="31" spans="1:9" x14ac:dyDescent="0.25">
      <c r="A31">
        <v>30</v>
      </c>
      <c r="B31" s="1" t="d">
        <v>2023-10-29</v>
      </c>
      <c r="C31" t="s">
        <v>43</v>
      </c>
      <c r="D31" t="s">
        <v>13</v>
      </c>
      <c r="E31" s="2">
        <v>39</v>
      </c>
      <c r="F31" t="s">
        <v>11</v>
      </c>
      <c r="G31" s="2">
        <v>3</v>
      </c>
      <c r="H31" s="15">
        <v>300</v>
      </c>
      <c r="I31" s="14">
        <v>900</v>
      </c>
    </row>
    <row r="32" spans="1:9" x14ac:dyDescent="0.25">
      <c r="A32">
        <v>31</v>
      </c>
      <c r="B32" s="1" t="d">
        <v>2023-05-23</v>
      </c>
      <c r="C32" t="s">
        <v>44</v>
      </c>
      <c r="D32" t="s">
        <v>10</v>
      </c>
      <c r="E32" s="2">
        <v>44</v>
      </c>
      <c r="F32" t="s">
        <v>16</v>
      </c>
      <c r="G32" s="2">
        <v>4</v>
      </c>
      <c r="H32" s="15">
        <v>300</v>
      </c>
      <c r="I32" s="14">
        <v>1200</v>
      </c>
    </row>
    <row r="33" spans="1:9" x14ac:dyDescent="0.25">
      <c r="A33">
        <v>32</v>
      </c>
      <c r="B33" s="1" t="d">
        <v>2023-01-04</v>
      </c>
      <c r="C33" t="s">
        <v>45</v>
      </c>
      <c r="D33" t="s">
        <v>10</v>
      </c>
      <c r="E33" s="2">
        <v>30</v>
      </c>
      <c r="F33" t="s">
        <v>11</v>
      </c>
      <c r="G33" s="2">
        <v>3</v>
      </c>
      <c r="H33" s="15">
        <v>30</v>
      </c>
      <c r="I33" s="14">
        <v>90</v>
      </c>
    </row>
    <row r="34" spans="1:9" x14ac:dyDescent="0.25">
      <c r="A34">
        <v>33</v>
      </c>
      <c r="B34" s="1" t="d">
        <v>2023-03-23</v>
      </c>
      <c r="C34" t="s">
        <v>46</v>
      </c>
      <c r="D34" t="s">
        <v>13</v>
      </c>
      <c r="E34" s="2">
        <v>50</v>
      </c>
      <c r="F34" t="s">
        <v>16</v>
      </c>
      <c r="G34" s="2">
        <v>2</v>
      </c>
      <c r="H34" s="15">
        <v>50</v>
      </c>
      <c r="I34" s="14">
        <v>100</v>
      </c>
    </row>
    <row r="35" spans="1:9" x14ac:dyDescent="0.25">
      <c r="A35">
        <v>34</v>
      </c>
      <c r="B35" s="1" t="d">
        <v>2023-12-24</v>
      </c>
      <c r="C35" t="s">
        <v>47</v>
      </c>
      <c r="D35" t="s">
        <v>13</v>
      </c>
      <c r="E35" s="2">
        <v>51</v>
      </c>
      <c r="F35" t="s">
        <v>14</v>
      </c>
      <c r="G35" s="2">
        <v>3</v>
      </c>
      <c r="H35" s="15">
        <v>50</v>
      </c>
      <c r="I35" s="14">
        <v>150</v>
      </c>
    </row>
    <row r="36" spans="1:9" x14ac:dyDescent="0.25">
      <c r="A36">
        <v>35</v>
      </c>
      <c r="B36" s="1" t="d">
        <v>2023-08-05</v>
      </c>
      <c r="C36" t="s">
        <v>48</v>
      </c>
      <c r="D36" t="s">
        <v>13</v>
      </c>
      <c r="E36" s="2">
        <v>58</v>
      </c>
      <c r="F36" t="s">
        <v>11</v>
      </c>
      <c r="G36" s="2">
        <v>3</v>
      </c>
      <c r="H36" s="15">
        <v>300</v>
      </c>
      <c r="I36" s="14">
        <v>900</v>
      </c>
    </row>
    <row r="37" spans="1:9" x14ac:dyDescent="0.25">
      <c r="A37">
        <v>36</v>
      </c>
      <c r="B37" s="1" t="d">
        <v>2023-06-24</v>
      </c>
      <c r="C37" t="s">
        <v>49</v>
      </c>
      <c r="D37" t="s">
        <v>10</v>
      </c>
      <c r="E37" s="2">
        <v>52</v>
      </c>
      <c r="F37" t="s">
        <v>11</v>
      </c>
      <c r="G37" s="2">
        <v>3</v>
      </c>
      <c r="H37" s="15">
        <v>300</v>
      </c>
      <c r="I37" s="14">
        <v>900</v>
      </c>
    </row>
    <row r="38" spans="1:9" x14ac:dyDescent="0.25">
      <c r="A38">
        <v>37</v>
      </c>
      <c r="B38" s="1" t="d">
        <v>2023-05-23</v>
      </c>
      <c r="C38" t="s">
        <v>50</v>
      </c>
      <c r="D38" t="s">
        <v>13</v>
      </c>
      <c r="E38" s="2">
        <v>18</v>
      </c>
      <c r="F38" t="s">
        <v>11</v>
      </c>
      <c r="G38" s="2">
        <v>3</v>
      </c>
      <c r="H38" s="15">
        <v>25</v>
      </c>
      <c r="I38" s="14">
        <v>75</v>
      </c>
    </row>
    <row r="39" spans="1:9" x14ac:dyDescent="0.25">
      <c r="A39">
        <v>38</v>
      </c>
      <c r="B39" s="1" t="d">
        <v>2023-03-21</v>
      </c>
      <c r="C39" t="s">
        <v>51</v>
      </c>
      <c r="D39" t="s">
        <v>10</v>
      </c>
      <c r="E39" s="2">
        <v>38</v>
      </c>
      <c r="F39" t="s">
        <v>11</v>
      </c>
      <c r="G39" s="2">
        <v>4</v>
      </c>
      <c r="H39" s="15">
        <v>50</v>
      </c>
      <c r="I39" s="14">
        <v>200</v>
      </c>
    </row>
    <row r="40" spans="1:9" x14ac:dyDescent="0.25">
      <c r="A40">
        <v>39</v>
      </c>
      <c r="B40" s="1" t="d">
        <v>2023-04-21</v>
      </c>
      <c r="C40" t="s">
        <v>52</v>
      </c>
      <c r="D40" t="s">
        <v>10</v>
      </c>
      <c r="E40" s="2">
        <v>23</v>
      </c>
      <c r="F40" t="s">
        <v>14</v>
      </c>
      <c r="G40" s="2">
        <v>4</v>
      </c>
      <c r="H40" s="15">
        <v>30</v>
      </c>
      <c r="I40" s="14">
        <v>120</v>
      </c>
    </row>
    <row r="41" spans="1:9" x14ac:dyDescent="0.25">
      <c r="A41">
        <v>40</v>
      </c>
      <c r="B41" s="1" t="d">
        <v>2023-06-22</v>
      </c>
      <c r="C41" t="s">
        <v>53</v>
      </c>
      <c r="D41" t="s">
        <v>10</v>
      </c>
      <c r="E41" s="2">
        <v>45</v>
      </c>
      <c r="F41" t="s">
        <v>11</v>
      </c>
      <c r="G41" s="2">
        <v>1</v>
      </c>
      <c r="H41" s="15">
        <v>50</v>
      </c>
      <c r="I41" s="14">
        <v>50</v>
      </c>
    </row>
    <row r="42" spans="1:9" x14ac:dyDescent="0.25">
      <c r="A42">
        <v>41</v>
      </c>
      <c r="B42" s="1" t="d">
        <v>2023-02-22</v>
      </c>
      <c r="C42" t="s">
        <v>54</v>
      </c>
      <c r="D42" t="s">
        <v>10</v>
      </c>
      <c r="E42" s="2">
        <v>34</v>
      </c>
      <c r="F42" t="s">
        <v>14</v>
      </c>
      <c r="G42" s="2">
        <v>2</v>
      </c>
      <c r="H42" s="15">
        <v>25</v>
      </c>
      <c r="I42" s="14">
        <v>50</v>
      </c>
    </row>
    <row r="43" spans="1:9" x14ac:dyDescent="0.25">
      <c r="A43">
        <v>42</v>
      </c>
      <c r="B43" s="1" t="d">
        <v>2023-02-17</v>
      </c>
      <c r="C43" t="s">
        <v>55</v>
      </c>
      <c r="D43" t="s">
        <v>10</v>
      </c>
      <c r="E43" s="2">
        <v>22</v>
      </c>
      <c r="F43" t="s">
        <v>14</v>
      </c>
      <c r="G43" s="2">
        <v>3</v>
      </c>
      <c r="H43" s="15">
        <v>300</v>
      </c>
      <c r="I43" s="14">
        <v>900</v>
      </c>
    </row>
    <row r="44" spans="1:9" x14ac:dyDescent="0.25">
      <c r="A44">
        <v>43</v>
      </c>
      <c r="B44" s="1" t="d">
        <v>2023-07-14</v>
      </c>
      <c r="C44" t="s">
        <v>56</v>
      </c>
      <c r="D44" t="s">
        <v>13</v>
      </c>
      <c r="E44" s="2">
        <v>48</v>
      </c>
      <c r="F44" t="s">
        <v>14</v>
      </c>
      <c r="G44" s="2">
        <v>1</v>
      </c>
      <c r="H44" s="15">
        <v>300</v>
      </c>
      <c r="I44" s="14">
        <v>300</v>
      </c>
    </row>
    <row r="45" spans="1:9" x14ac:dyDescent="0.25">
      <c r="A45">
        <v>44</v>
      </c>
      <c r="B45" s="1" t="d">
        <v>2023-02-19</v>
      </c>
      <c r="C45" t="s">
        <v>57</v>
      </c>
      <c r="D45" t="s">
        <v>13</v>
      </c>
      <c r="E45" s="2">
        <v>22</v>
      </c>
      <c r="F45" t="s">
        <v>14</v>
      </c>
      <c r="G45" s="2">
        <v>1</v>
      </c>
      <c r="H45" s="15">
        <v>25</v>
      </c>
      <c r="I45" s="14">
        <v>25</v>
      </c>
    </row>
    <row r="46" spans="1:9" x14ac:dyDescent="0.25">
      <c r="A46">
        <v>45</v>
      </c>
      <c r="B46" s="1" t="d">
        <v>2023-07-03</v>
      </c>
      <c r="C46" t="s">
        <v>58</v>
      </c>
      <c r="D46" t="s">
        <v>13</v>
      </c>
      <c r="E46" s="2">
        <v>55</v>
      </c>
      <c r="F46" t="s">
        <v>16</v>
      </c>
      <c r="G46" s="2">
        <v>1</v>
      </c>
      <c r="H46" s="15">
        <v>30</v>
      </c>
      <c r="I46" s="14">
        <v>30</v>
      </c>
    </row>
    <row r="47" spans="1:9" x14ac:dyDescent="0.25">
      <c r="A47">
        <v>46</v>
      </c>
      <c r="B47" s="1" t="d">
        <v>2023-06-26</v>
      </c>
      <c r="C47" t="s">
        <v>59</v>
      </c>
      <c r="D47" t="s">
        <v>13</v>
      </c>
      <c r="E47" s="2">
        <v>20</v>
      </c>
      <c r="F47" t="s">
        <v>16</v>
      </c>
      <c r="G47" s="2">
        <v>4</v>
      </c>
      <c r="H47" s="15">
        <v>300</v>
      </c>
      <c r="I47" s="14">
        <v>1200</v>
      </c>
    </row>
    <row r="48" spans="1:9" x14ac:dyDescent="0.25">
      <c r="A48">
        <v>47</v>
      </c>
      <c r="B48" s="1" t="d">
        <v>2023-11-06</v>
      </c>
      <c r="C48" t="s">
        <v>60</v>
      </c>
      <c r="D48" t="s">
        <v>13</v>
      </c>
      <c r="E48" s="2">
        <v>40</v>
      </c>
      <c r="F48" t="s">
        <v>11</v>
      </c>
      <c r="G48" s="2">
        <v>3</v>
      </c>
      <c r="H48" s="15">
        <v>500</v>
      </c>
      <c r="I48" s="14">
        <v>1500</v>
      </c>
    </row>
    <row r="49" spans="1:9" x14ac:dyDescent="0.25">
      <c r="A49">
        <v>48</v>
      </c>
      <c r="B49" s="1" t="d">
        <v>2023-05-16</v>
      </c>
      <c r="C49" t="s">
        <v>61</v>
      </c>
      <c r="D49" t="s">
        <v>10</v>
      </c>
      <c r="E49" s="2">
        <v>54</v>
      </c>
      <c r="F49" t="s">
        <v>16</v>
      </c>
      <c r="G49" s="2">
        <v>3</v>
      </c>
      <c r="H49" s="15">
        <v>300</v>
      </c>
      <c r="I49" s="14">
        <v>900</v>
      </c>
    </row>
    <row r="50" spans="1:9" x14ac:dyDescent="0.25">
      <c r="A50">
        <v>49</v>
      </c>
      <c r="B50" s="1" t="d">
        <v>2023-01-23</v>
      </c>
      <c r="C50" t="s">
        <v>62</v>
      </c>
      <c r="D50" t="s">
        <v>13</v>
      </c>
      <c r="E50" s="2">
        <v>54</v>
      </c>
      <c r="F50" t="s">
        <v>16</v>
      </c>
      <c r="G50" s="2">
        <v>2</v>
      </c>
      <c r="H50" s="15">
        <v>500</v>
      </c>
      <c r="I50" s="14">
        <v>1000</v>
      </c>
    </row>
    <row r="51" spans="1:9" x14ac:dyDescent="0.25">
      <c r="A51">
        <v>50</v>
      </c>
      <c r="B51" s="1" t="d">
        <v>2023-08-24</v>
      </c>
      <c r="C51" t="s">
        <v>63</v>
      </c>
      <c r="D51" t="s">
        <v>13</v>
      </c>
      <c r="E51" s="2">
        <v>27</v>
      </c>
      <c r="F51" t="s">
        <v>11</v>
      </c>
      <c r="G51" s="2">
        <v>3</v>
      </c>
      <c r="H51" s="15">
        <v>25</v>
      </c>
      <c r="I51" s="14">
        <v>75</v>
      </c>
    </row>
    <row r="52" spans="1:9" x14ac:dyDescent="0.25">
      <c r="A52">
        <v>51</v>
      </c>
      <c r="B52" s="1" t="d">
        <v>2023-10-02</v>
      </c>
      <c r="C52" t="s">
        <v>64</v>
      </c>
      <c r="D52" t="s">
        <v>10</v>
      </c>
      <c r="E52" s="2">
        <v>27</v>
      </c>
      <c r="F52" t="s">
        <v>11</v>
      </c>
      <c r="G52" s="2">
        <v>3</v>
      </c>
      <c r="H52" s="15">
        <v>25</v>
      </c>
      <c r="I52" s="14">
        <v>75</v>
      </c>
    </row>
    <row r="53" spans="1:9" x14ac:dyDescent="0.25">
      <c r="A53">
        <v>52</v>
      </c>
      <c r="B53" s="1" t="d">
        <v>2023-03-05</v>
      </c>
      <c r="C53" t="s">
        <v>65</v>
      </c>
      <c r="D53" t="s">
        <v>13</v>
      </c>
      <c r="E53" s="2">
        <v>36</v>
      </c>
      <c r="F53" t="s">
        <v>11</v>
      </c>
      <c r="G53" s="2">
        <v>1</v>
      </c>
      <c r="H53" s="15">
        <v>300</v>
      </c>
      <c r="I53" s="14">
        <v>300</v>
      </c>
    </row>
    <row r="54" spans="1:9" x14ac:dyDescent="0.25">
      <c r="A54">
        <v>53</v>
      </c>
      <c r="B54" s="1" t="d">
        <v>2023-07-13</v>
      </c>
      <c r="C54" t="s">
        <v>66</v>
      </c>
      <c r="D54" t="s">
        <v>10</v>
      </c>
      <c r="E54" s="2">
        <v>34</v>
      </c>
      <c r="F54" t="s">
        <v>16</v>
      </c>
      <c r="G54" s="2">
        <v>2</v>
      </c>
      <c r="H54" s="15">
        <v>50</v>
      </c>
      <c r="I54" s="14">
        <v>100</v>
      </c>
    </row>
    <row r="55" spans="1:9" x14ac:dyDescent="0.25">
      <c r="A55">
        <v>54</v>
      </c>
      <c r="B55" s="1" t="d">
        <v>2023-02-10</v>
      </c>
      <c r="C55" t="s">
        <v>67</v>
      </c>
      <c r="D55" t="s">
        <v>13</v>
      </c>
      <c r="E55" s="2">
        <v>38</v>
      </c>
      <c r="F55" t="s">
        <v>16</v>
      </c>
      <c r="G55" s="2">
        <v>3</v>
      </c>
      <c r="H55" s="15">
        <v>500</v>
      </c>
      <c r="I55" s="14">
        <v>1500</v>
      </c>
    </row>
    <row r="56" spans="1:9" x14ac:dyDescent="0.25">
      <c r="A56">
        <v>55</v>
      </c>
      <c r="B56" s="1" t="d">
        <v>2023-10-10</v>
      </c>
      <c r="C56" t="s">
        <v>68</v>
      </c>
      <c r="D56" t="s">
        <v>10</v>
      </c>
      <c r="E56" s="2">
        <v>31</v>
      </c>
      <c r="F56" t="s">
        <v>11</v>
      </c>
      <c r="G56" s="2">
        <v>4</v>
      </c>
      <c r="H56" s="15">
        <v>30</v>
      </c>
      <c r="I56" s="14">
        <v>120</v>
      </c>
    </row>
    <row r="57" spans="1:9" x14ac:dyDescent="0.25">
      <c r="A57">
        <v>56</v>
      </c>
      <c r="B57" s="1" t="d">
        <v>2023-05-31</v>
      </c>
      <c r="C57" t="s">
        <v>69</v>
      </c>
      <c r="D57" t="s">
        <v>13</v>
      </c>
      <c r="E57" s="2">
        <v>26</v>
      </c>
      <c r="F57" t="s">
        <v>14</v>
      </c>
      <c r="G57" s="2">
        <v>3</v>
      </c>
      <c r="H57" s="15">
        <v>300</v>
      </c>
      <c r="I57" s="14">
        <v>900</v>
      </c>
    </row>
    <row r="58" spans="1:9" x14ac:dyDescent="0.25">
      <c r="A58">
        <v>57</v>
      </c>
      <c r="B58" s="1" t="d">
        <v>2023-11-18</v>
      </c>
      <c r="C58" t="s">
        <v>70</v>
      </c>
      <c r="D58" t="s">
        <v>13</v>
      </c>
      <c r="E58" s="2">
        <v>63</v>
      </c>
      <c r="F58" t="s">
        <v>11</v>
      </c>
      <c r="G58" s="2">
        <v>1</v>
      </c>
      <c r="H58" s="15">
        <v>30</v>
      </c>
      <c r="I58" s="14">
        <v>30</v>
      </c>
    </row>
    <row r="59" spans="1:9" x14ac:dyDescent="0.25">
      <c r="A59">
        <v>58</v>
      </c>
      <c r="B59" s="1" t="d">
        <v>2023-11-13</v>
      </c>
      <c r="C59" t="s">
        <v>71</v>
      </c>
      <c r="D59" t="s">
        <v>10</v>
      </c>
      <c r="E59" s="2">
        <v>18</v>
      </c>
      <c r="F59" t="s">
        <v>14</v>
      </c>
      <c r="G59" s="2">
        <v>4</v>
      </c>
      <c r="H59" s="15">
        <v>300</v>
      </c>
      <c r="I59" s="14">
        <v>1200</v>
      </c>
    </row>
    <row r="60" spans="1:9" x14ac:dyDescent="0.25">
      <c r="A60">
        <v>59</v>
      </c>
      <c r="B60" s="1" t="d">
        <v>2023-07-05</v>
      </c>
      <c r="C60" t="s">
        <v>72</v>
      </c>
      <c r="D60" t="s">
        <v>10</v>
      </c>
      <c r="E60" s="2">
        <v>62</v>
      </c>
      <c r="F60" t="s">
        <v>14</v>
      </c>
      <c r="G60" s="2">
        <v>1</v>
      </c>
      <c r="H60" s="15">
        <v>50</v>
      </c>
      <c r="I60" s="14">
        <v>50</v>
      </c>
    </row>
    <row r="61" spans="1:9" x14ac:dyDescent="0.25">
      <c r="A61">
        <v>60</v>
      </c>
      <c r="B61" s="1" t="d">
        <v>2023-10-23</v>
      </c>
      <c r="C61" t="s">
        <v>73</v>
      </c>
      <c r="D61" t="s">
        <v>10</v>
      </c>
      <c r="E61" s="2">
        <v>30</v>
      </c>
      <c r="F61" t="s">
        <v>11</v>
      </c>
      <c r="G61" s="2">
        <v>3</v>
      </c>
      <c r="H61" s="15">
        <v>50</v>
      </c>
      <c r="I61" s="14">
        <v>150</v>
      </c>
    </row>
    <row r="62" spans="1:9" x14ac:dyDescent="0.25">
      <c r="A62">
        <v>61</v>
      </c>
      <c r="B62" s="1" t="d">
        <v>2023-04-09</v>
      </c>
      <c r="C62" t="s">
        <v>74</v>
      </c>
      <c r="D62" t="s">
        <v>10</v>
      </c>
      <c r="E62" s="2">
        <v>21</v>
      </c>
      <c r="F62" t="s">
        <v>11</v>
      </c>
      <c r="G62" s="2">
        <v>4</v>
      </c>
      <c r="H62" s="15">
        <v>50</v>
      </c>
      <c r="I62" s="14">
        <v>200</v>
      </c>
    </row>
    <row r="63" spans="1:9" x14ac:dyDescent="0.25">
      <c r="A63">
        <v>62</v>
      </c>
      <c r="B63" s="1" t="d">
        <v>2023-12-27</v>
      </c>
      <c r="C63" t="s">
        <v>75</v>
      </c>
      <c r="D63" t="s">
        <v>10</v>
      </c>
      <c r="E63" s="2">
        <v>18</v>
      </c>
      <c r="F63" t="s">
        <v>11</v>
      </c>
      <c r="G63" s="2">
        <v>2</v>
      </c>
      <c r="H63" s="15">
        <v>50</v>
      </c>
      <c r="I63" s="14">
        <v>100</v>
      </c>
    </row>
    <row r="64" spans="1:9" x14ac:dyDescent="0.25">
      <c r="A64">
        <v>63</v>
      </c>
      <c r="B64" s="1" t="d">
        <v>2023-02-05</v>
      </c>
      <c r="C64" t="s">
        <v>76</v>
      </c>
      <c r="D64" t="s">
        <v>10</v>
      </c>
      <c r="E64" s="2">
        <v>57</v>
      </c>
      <c r="F64" t="s">
        <v>16</v>
      </c>
      <c r="G64" s="2">
        <v>2</v>
      </c>
      <c r="H64" s="15">
        <v>25</v>
      </c>
      <c r="I64" s="14">
        <v>50</v>
      </c>
    </row>
    <row r="65" spans="1:9" x14ac:dyDescent="0.25">
      <c r="A65">
        <v>64</v>
      </c>
      <c r="B65" s="1" t="d">
        <v>2023-01-24</v>
      </c>
      <c r="C65" t="s">
        <v>77</v>
      </c>
      <c r="D65" t="s">
        <v>10</v>
      </c>
      <c r="E65" s="2">
        <v>49</v>
      </c>
      <c r="F65" t="s">
        <v>14</v>
      </c>
      <c r="G65" s="2">
        <v>4</v>
      </c>
      <c r="H65" s="15">
        <v>25</v>
      </c>
      <c r="I65" s="14">
        <v>100</v>
      </c>
    </row>
    <row r="66" spans="1:9" x14ac:dyDescent="0.25">
      <c r="A66">
        <v>65</v>
      </c>
      <c r="B66" s="1" t="d">
        <v>2023-12-05</v>
      </c>
      <c r="C66" t="s">
        <v>78</v>
      </c>
      <c r="D66" t="s">
        <v>10</v>
      </c>
      <c r="E66" s="2">
        <v>51</v>
      </c>
      <c r="F66" t="s">
        <v>16</v>
      </c>
      <c r="G66" s="2">
        <v>4</v>
      </c>
      <c r="H66" s="15">
        <v>500</v>
      </c>
      <c r="I66" s="14">
        <v>2000</v>
      </c>
    </row>
    <row r="67" spans="1:9" x14ac:dyDescent="0.25">
      <c r="A67">
        <v>66</v>
      </c>
      <c r="B67" s="1" t="d">
        <v>2023-04-27</v>
      </c>
      <c r="C67" t="s">
        <v>79</v>
      </c>
      <c r="D67" t="s">
        <v>13</v>
      </c>
      <c r="E67" s="2">
        <v>45</v>
      </c>
      <c r="F67" t="s">
        <v>16</v>
      </c>
      <c r="G67" s="2">
        <v>1</v>
      </c>
      <c r="H67" s="15">
        <v>30</v>
      </c>
      <c r="I67" s="14">
        <v>30</v>
      </c>
    </row>
    <row r="68" spans="1:9" x14ac:dyDescent="0.25">
      <c r="A68">
        <v>67</v>
      </c>
      <c r="B68" s="1" t="d">
        <v>2023-05-29</v>
      </c>
      <c r="C68" t="s">
        <v>80</v>
      </c>
      <c r="D68" t="s">
        <v>13</v>
      </c>
      <c r="E68" s="2">
        <v>48</v>
      </c>
      <c r="F68" t="s">
        <v>11</v>
      </c>
      <c r="G68" s="2">
        <v>4</v>
      </c>
      <c r="H68" s="15">
        <v>300</v>
      </c>
      <c r="I68" s="14">
        <v>1200</v>
      </c>
    </row>
    <row r="69" spans="1:9" x14ac:dyDescent="0.25">
      <c r="A69">
        <v>68</v>
      </c>
      <c r="B69" s="1" t="d">
        <v>2023-02-10</v>
      </c>
      <c r="C69" t="s">
        <v>81</v>
      </c>
      <c r="D69" t="s">
        <v>10</v>
      </c>
      <c r="E69" s="2">
        <v>25</v>
      </c>
      <c r="F69" t="s">
        <v>16</v>
      </c>
      <c r="G69" s="2">
        <v>1</v>
      </c>
      <c r="H69" s="15">
        <v>300</v>
      </c>
      <c r="I69" s="14">
        <v>300</v>
      </c>
    </row>
    <row r="70" spans="1:9" x14ac:dyDescent="0.25">
      <c r="A70">
        <v>69</v>
      </c>
      <c r="B70" s="1" t="d">
        <v>2023-04-30</v>
      </c>
      <c r="C70" t="s">
        <v>82</v>
      </c>
      <c r="D70" t="s">
        <v>13</v>
      </c>
      <c r="E70" s="2">
        <v>56</v>
      </c>
      <c r="F70" t="s">
        <v>11</v>
      </c>
      <c r="G70" s="2">
        <v>3</v>
      </c>
      <c r="H70" s="15">
        <v>25</v>
      </c>
      <c r="I70" s="14">
        <v>75</v>
      </c>
    </row>
    <row r="71" spans="1:9" x14ac:dyDescent="0.25">
      <c r="A71">
        <v>70</v>
      </c>
      <c r="B71" s="1" t="d">
        <v>2023-02-21</v>
      </c>
      <c r="C71" t="s">
        <v>83</v>
      </c>
      <c r="D71" t="s">
        <v>13</v>
      </c>
      <c r="E71" s="2">
        <v>43</v>
      </c>
      <c r="F71" t="s">
        <v>14</v>
      </c>
      <c r="G71" s="2">
        <v>1</v>
      </c>
      <c r="H71" s="15">
        <v>300</v>
      </c>
      <c r="I71" s="14">
        <v>300</v>
      </c>
    </row>
    <row r="72" spans="1:9" x14ac:dyDescent="0.25">
      <c r="A72">
        <v>71</v>
      </c>
      <c r="B72" s="1" t="d">
        <v>2023-07-14</v>
      </c>
      <c r="C72" t="s">
        <v>84</v>
      </c>
      <c r="D72" t="s">
        <v>13</v>
      </c>
      <c r="E72" s="2">
        <v>51</v>
      </c>
      <c r="F72" t="s">
        <v>11</v>
      </c>
      <c r="G72" s="2">
        <v>4</v>
      </c>
      <c r="H72" s="15">
        <v>25</v>
      </c>
      <c r="I72" s="14">
        <v>100</v>
      </c>
    </row>
    <row r="73" spans="1:9" x14ac:dyDescent="0.25">
      <c r="A73">
        <v>72</v>
      </c>
      <c r="B73" s="1" t="d">
        <v>2023-05-23</v>
      </c>
      <c r="C73" t="s">
        <v>85</v>
      </c>
      <c r="D73" t="s">
        <v>13</v>
      </c>
      <c r="E73" s="2">
        <v>20</v>
      </c>
      <c r="F73" t="s">
        <v>16</v>
      </c>
      <c r="G73" s="2">
        <v>4</v>
      </c>
      <c r="H73" s="15">
        <v>500</v>
      </c>
      <c r="I73" s="14">
        <v>2000</v>
      </c>
    </row>
    <row r="74" spans="1:9" x14ac:dyDescent="0.25">
      <c r="A74">
        <v>73</v>
      </c>
      <c r="B74" s="1" t="d">
        <v>2023-08-21</v>
      </c>
      <c r="C74" t="s">
        <v>86</v>
      </c>
      <c r="D74" t="s">
        <v>10</v>
      </c>
      <c r="E74" s="2">
        <v>29</v>
      </c>
      <c r="F74" t="s">
        <v>16</v>
      </c>
      <c r="G74" s="2">
        <v>3</v>
      </c>
      <c r="H74" s="15">
        <v>30</v>
      </c>
      <c r="I74" s="14">
        <v>90</v>
      </c>
    </row>
    <row r="75" spans="1:9" x14ac:dyDescent="0.25">
      <c r="A75">
        <v>74</v>
      </c>
      <c r="B75" s="1" t="d">
        <v>2023-11-22</v>
      </c>
      <c r="C75" t="s">
        <v>87</v>
      </c>
      <c r="D75" t="s">
        <v>13</v>
      </c>
      <c r="E75" s="2">
        <v>18</v>
      </c>
      <c r="F75" t="s">
        <v>11</v>
      </c>
      <c r="G75" s="2">
        <v>4</v>
      </c>
      <c r="H75" s="15">
        <v>500</v>
      </c>
      <c r="I75" s="14">
        <v>2000</v>
      </c>
    </row>
    <row r="76" spans="1:9" x14ac:dyDescent="0.25">
      <c r="A76">
        <v>75</v>
      </c>
      <c r="B76" s="1" t="d">
        <v>2023-07-06</v>
      </c>
      <c r="C76" t="s">
        <v>88</v>
      </c>
      <c r="D76" t="s">
        <v>10</v>
      </c>
      <c r="E76" s="2">
        <v>61</v>
      </c>
      <c r="F76" t="s">
        <v>11</v>
      </c>
      <c r="G76" s="2">
        <v>4</v>
      </c>
      <c r="H76" s="15">
        <v>50</v>
      </c>
      <c r="I76" s="14">
        <v>200</v>
      </c>
    </row>
    <row r="77" spans="1:9" x14ac:dyDescent="0.25">
      <c r="A77">
        <v>76</v>
      </c>
      <c r="B77" s="1" t="d">
        <v>2023-03-25</v>
      </c>
      <c r="C77" t="s">
        <v>89</v>
      </c>
      <c r="D77" t="s">
        <v>13</v>
      </c>
      <c r="E77" s="2">
        <v>22</v>
      </c>
      <c r="F77" t="s">
        <v>16</v>
      </c>
      <c r="G77" s="2">
        <v>2</v>
      </c>
      <c r="H77" s="15">
        <v>50</v>
      </c>
      <c r="I77" s="14">
        <v>100</v>
      </c>
    </row>
    <row r="78" spans="1:9" x14ac:dyDescent="0.25">
      <c r="A78">
        <v>77</v>
      </c>
      <c r="B78" s="1" t="d">
        <v>2023-07-09</v>
      </c>
      <c r="C78" t="s">
        <v>90</v>
      </c>
      <c r="D78" t="s">
        <v>13</v>
      </c>
      <c r="E78" s="2">
        <v>47</v>
      </c>
      <c r="F78" t="s">
        <v>14</v>
      </c>
      <c r="G78" s="2">
        <v>2</v>
      </c>
      <c r="H78" s="15">
        <v>50</v>
      </c>
      <c r="I78" s="14">
        <v>100</v>
      </c>
    </row>
    <row r="79" spans="1:9" x14ac:dyDescent="0.25">
      <c r="A79">
        <v>78</v>
      </c>
      <c r="B79" s="1" t="d">
        <v>2023-07-01</v>
      </c>
      <c r="C79" t="s">
        <v>91</v>
      </c>
      <c r="D79" t="s">
        <v>13</v>
      </c>
      <c r="E79" s="2">
        <v>47</v>
      </c>
      <c r="F79" t="s">
        <v>14</v>
      </c>
      <c r="G79" s="2">
        <v>3</v>
      </c>
      <c r="H79" s="15">
        <v>500</v>
      </c>
      <c r="I79" s="14">
        <v>1500</v>
      </c>
    </row>
    <row r="80" spans="1:9" x14ac:dyDescent="0.25">
      <c r="A80">
        <v>79</v>
      </c>
      <c r="B80" s="1" t="d">
        <v>2023-04-18</v>
      </c>
      <c r="C80" t="s">
        <v>92</v>
      </c>
      <c r="D80" t="s">
        <v>10</v>
      </c>
      <c r="E80" s="2">
        <v>34</v>
      </c>
      <c r="F80" t="s">
        <v>11</v>
      </c>
      <c r="G80" s="2">
        <v>1</v>
      </c>
      <c r="H80" s="15">
        <v>300</v>
      </c>
      <c r="I80" s="14">
        <v>300</v>
      </c>
    </row>
    <row r="81" spans="1:9" x14ac:dyDescent="0.25">
      <c r="A81">
        <v>80</v>
      </c>
      <c r="B81" s="1" t="d">
        <v>2023-12-10</v>
      </c>
      <c r="C81" t="s">
        <v>93</v>
      </c>
      <c r="D81" t="s">
        <v>13</v>
      </c>
      <c r="E81" s="2">
        <v>64</v>
      </c>
      <c r="F81" t="s">
        <v>14</v>
      </c>
      <c r="G81" s="2">
        <v>2</v>
      </c>
      <c r="H81" s="15">
        <v>30</v>
      </c>
      <c r="I81" s="14">
        <v>60</v>
      </c>
    </row>
    <row r="82" spans="1:9" x14ac:dyDescent="0.25">
      <c r="A82">
        <v>81</v>
      </c>
      <c r="B82" s="1" t="d">
        <v>2023-05-17</v>
      </c>
      <c r="C82" t="s">
        <v>94</v>
      </c>
      <c r="D82" t="s">
        <v>10</v>
      </c>
      <c r="E82" s="2">
        <v>40</v>
      </c>
      <c r="F82" t="s">
        <v>16</v>
      </c>
      <c r="G82" s="2">
        <v>1</v>
      </c>
      <c r="H82" s="15">
        <v>50</v>
      </c>
      <c r="I82" s="14">
        <v>50</v>
      </c>
    </row>
    <row r="83" spans="1:9" x14ac:dyDescent="0.25">
      <c r="A83">
        <v>82</v>
      </c>
      <c r="B83" s="1" t="d">
        <v>2023-12-26</v>
      </c>
      <c r="C83" t="s">
        <v>95</v>
      </c>
      <c r="D83" t="s">
        <v>13</v>
      </c>
      <c r="E83" s="2">
        <v>32</v>
      </c>
      <c r="F83" t="s">
        <v>11</v>
      </c>
      <c r="G83" s="2">
        <v>4</v>
      </c>
      <c r="H83" s="15">
        <v>50</v>
      </c>
      <c r="I83" s="14">
        <v>200</v>
      </c>
    </row>
    <row r="84" spans="1:9" x14ac:dyDescent="0.25">
      <c r="A84">
        <v>83</v>
      </c>
      <c r="B84" s="1" t="d">
        <v>2023-12-16</v>
      </c>
      <c r="C84" t="s">
        <v>96</v>
      </c>
      <c r="D84" t="s">
        <v>10</v>
      </c>
      <c r="E84" s="2">
        <v>54</v>
      </c>
      <c r="F84" t="s">
        <v>16</v>
      </c>
      <c r="G84" s="2">
        <v>2</v>
      </c>
      <c r="H84" s="15">
        <v>50</v>
      </c>
      <c r="I84" s="14">
        <v>100</v>
      </c>
    </row>
    <row r="85" spans="1:9" x14ac:dyDescent="0.25">
      <c r="A85">
        <v>84</v>
      </c>
      <c r="B85" s="1" t="d">
        <v>2023-11-28</v>
      </c>
      <c r="C85" t="s">
        <v>97</v>
      </c>
      <c r="D85" t="s">
        <v>13</v>
      </c>
      <c r="E85" s="2">
        <v>38</v>
      </c>
      <c r="F85" t="s">
        <v>16</v>
      </c>
      <c r="G85" s="2">
        <v>3</v>
      </c>
      <c r="H85" s="15">
        <v>30</v>
      </c>
      <c r="I85" s="14">
        <v>90</v>
      </c>
    </row>
    <row r="86" spans="1:9" x14ac:dyDescent="0.25">
      <c r="A86">
        <v>85</v>
      </c>
      <c r="B86" s="1" t="d">
        <v>2023-02-06</v>
      </c>
      <c r="C86" t="s">
        <v>98</v>
      </c>
      <c r="D86" t="s">
        <v>10</v>
      </c>
      <c r="E86" s="2">
        <v>31</v>
      </c>
      <c r="F86" t="s">
        <v>14</v>
      </c>
      <c r="G86" s="2">
        <v>3</v>
      </c>
      <c r="H86" s="15">
        <v>50</v>
      </c>
      <c r="I86" s="14">
        <v>150</v>
      </c>
    </row>
    <row r="87" spans="1:9" x14ac:dyDescent="0.25">
      <c r="A87">
        <v>86</v>
      </c>
      <c r="B87" s="1" t="d">
        <v>2023-11-08</v>
      </c>
      <c r="C87" t="s">
        <v>99</v>
      </c>
      <c r="D87" t="s">
        <v>10</v>
      </c>
      <c r="E87" s="2">
        <v>19</v>
      </c>
      <c r="F87" t="s">
        <v>11</v>
      </c>
      <c r="G87" s="2">
        <v>3</v>
      </c>
      <c r="H87" s="15">
        <v>30</v>
      </c>
      <c r="I87" s="14">
        <v>90</v>
      </c>
    </row>
    <row r="88" spans="1:9" x14ac:dyDescent="0.25">
      <c r="A88">
        <v>87</v>
      </c>
      <c r="B88" s="1" t="d">
        <v>2023-11-22</v>
      </c>
      <c r="C88" t="s">
        <v>100</v>
      </c>
      <c r="D88" t="s">
        <v>13</v>
      </c>
      <c r="E88" s="2">
        <v>28</v>
      </c>
      <c r="F88" t="s">
        <v>11</v>
      </c>
      <c r="G88" s="2">
        <v>2</v>
      </c>
      <c r="H88" s="15">
        <v>50</v>
      </c>
      <c r="I88" s="14">
        <v>100</v>
      </c>
    </row>
    <row r="89" spans="1:9" x14ac:dyDescent="0.25">
      <c r="A89">
        <v>88</v>
      </c>
      <c r="B89" s="1" t="d">
        <v>2023-03-29</v>
      </c>
      <c r="C89" t="s">
        <v>101</v>
      </c>
      <c r="D89" t="s">
        <v>10</v>
      </c>
      <c r="E89" s="2">
        <v>56</v>
      </c>
      <c r="F89" t="s">
        <v>14</v>
      </c>
      <c r="G89" s="2">
        <v>1</v>
      </c>
      <c r="H89" s="15">
        <v>500</v>
      </c>
      <c r="I89" s="14">
        <v>500</v>
      </c>
    </row>
    <row r="90" spans="1:9" x14ac:dyDescent="0.25">
      <c r="A90">
        <v>89</v>
      </c>
      <c r="B90" s="1" t="d">
        <v>2023-10-01</v>
      </c>
      <c r="C90" t="s">
        <v>102</v>
      </c>
      <c r="D90" t="s">
        <v>13</v>
      </c>
      <c r="E90" s="2">
        <v>55</v>
      </c>
      <c r="F90" t="s">
        <v>16</v>
      </c>
      <c r="G90" s="2">
        <v>4</v>
      </c>
      <c r="H90" s="15">
        <v>500</v>
      </c>
      <c r="I90" s="14">
        <v>2000</v>
      </c>
    </row>
    <row r="91" spans="1:9" x14ac:dyDescent="0.25">
      <c r="A91">
        <v>90</v>
      </c>
      <c r="B91" s="1" t="d">
        <v>2023-05-06</v>
      </c>
      <c r="C91" t="s">
        <v>103</v>
      </c>
      <c r="D91" t="s">
        <v>13</v>
      </c>
      <c r="E91" s="2">
        <v>51</v>
      </c>
      <c r="F91" t="s">
        <v>16</v>
      </c>
      <c r="G91" s="2">
        <v>1</v>
      </c>
      <c r="H91" s="15">
        <v>30</v>
      </c>
      <c r="I91" s="14">
        <v>30</v>
      </c>
    </row>
    <row r="92" spans="1:9" x14ac:dyDescent="0.25">
      <c r="A92">
        <v>91</v>
      </c>
      <c r="B92" s="1" t="d">
        <v>2023-03-25</v>
      </c>
      <c r="C92" t="s">
        <v>104</v>
      </c>
      <c r="D92" t="s">
        <v>13</v>
      </c>
      <c r="E92" s="2">
        <v>55</v>
      </c>
      <c r="F92" t="s">
        <v>16</v>
      </c>
      <c r="G92" s="2">
        <v>1</v>
      </c>
      <c r="H92" s="15">
        <v>500</v>
      </c>
      <c r="I92" s="14">
        <v>500</v>
      </c>
    </row>
    <row r="93" spans="1:9" x14ac:dyDescent="0.25">
      <c r="A93">
        <v>92</v>
      </c>
      <c r="B93" s="1" t="d">
        <v>2023-08-25</v>
      </c>
      <c r="C93" t="s">
        <v>105</v>
      </c>
      <c r="D93" t="s">
        <v>13</v>
      </c>
      <c r="E93" s="2">
        <v>51</v>
      </c>
      <c r="F93" t="s">
        <v>16</v>
      </c>
      <c r="G93" s="2">
        <v>4</v>
      </c>
      <c r="H93" s="15">
        <v>30</v>
      </c>
      <c r="I93" s="14">
        <v>120</v>
      </c>
    </row>
    <row r="94" spans="1:9" x14ac:dyDescent="0.25">
      <c r="A94">
        <v>93</v>
      </c>
      <c r="B94" s="1" t="d">
        <v>2023-07-14</v>
      </c>
      <c r="C94" t="s">
        <v>106</v>
      </c>
      <c r="D94" t="s">
        <v>13</v>
      </c>
      <c r="E94" s="2">
        <v>35</v>
      </c>
      <c r="F94" t="s">
        <v>11</v>
      </c>
      <c r="G94" s="2">
        <v>4</v>
      </c>
      <c r="H94" s="15">
        <v>500</v>
      </c>
      <c r="I94" s="14">
        <v>2000</v>
      </c>
    </row>
    <row r="95" spans="1:9" x14ac:dyDescent="0.25">
      <c r="A95">
        <v>94</v>
      </c>
      <c r="B95" s="1" t="d">
        <v>2023-05-19</v>
      </c>
      <c r="C95" t="s">
        <v>107</v>
      </c>
      <c r="D95" t="s">
        <v>13</v>
      </c>
      <c r="E95" s="2">
        <v>47</v>
      </c>
      <c r="F95" t="s">
        <v>11</v>
      </c>
      <c r="G95" s="2">
        <v>2</v>
      </c>
      <c r="H95" s="15">
        <v>500</v>
      </c>
      <c r="I95" s="14">
        <v>1000</v>
      </c>
    </row>
    <row r="96" spans="1:9" x14ac:dyDescent="0.25">
      <c r="A96">
        <v>95</v>
      </c>
      <c r="B96" s="1" t="d">
        <v>2023-11-24</v>
      </c>
      <c r="C96" t="s">
        <v>108</v>
      </c>
      <c r="D96" t="s">
        <v>13</v>
      </c>
      <c r="E96" s="2">
        <v>32</v>
      </c>
      <c r="F96" t="s">
        <v>14</v>
      </c>
      <c r="G96" s="2">
        <v>2</v>
      </c>
      <c r="H96" s="15">
        <v>30</v>
      </c>
      <c r="I96" s="14">
        <v>60</v>
      </c>
    </row>
    <row r="97" spans="1:9" x14ac:dyDescent="0.25">
      <c r="A97">
        <v>96</v>
      </c>
      <c r="B97" s="1" t="d">
        <v>2023-12-19</v>
      </c>
      <c r="C97" t="s">
        <v>109</v>
      </c>
      <c r="D97" t="s">
        <v>13</v>
      </c>
      <c r="E97" s="2">
        <v>44</v>
      </c>
      <c r="F97" t="s">
        <v>14</v>
      </c>
      <c r="G97" s="2">
        <v>2</v>
      </c>
      <c r="H97" s="15">
        <v>300</v>
      </c>
      <c r="I97" s="14">
        <v>600</v>
      </c>
    </row>
    <row r="98" spans="1:9" x14ac:dyDescent="0.25">
      <c r="A98">
        <v>97</v>
      </c>
      <c r="B98" s="1" t="d">
        <v>2023-10-13</v>
      </c>
      <c r="C98" t="s">
        <v>110</v>
      </c>
      <c r="D98" t="s">
        <v>13</v>
      </c>
      <c r="E98" s="2">
        <v>51</v>
      </c>
      <c r="F98" t="s">
        <v>11</v>
      </c>
      <c r="G98" s="2">
        <v>2</v>
      </c>
      <c r="H98" s="15">
        <v>500</v>
      </c>
      <c r="I98" s="14">
        <v>1000</v>
      </c>
    </row>
    <row r="99" spans="1:9" x14ac:dyDescent="0.25">
      <c r="A99">
        <v>98</v>
      </c>
      <c r="B99" s="1" t="d">
        <v>2023-04-23</v>
      </c>
      <c r="C99" t="s">
        <v>111</v>
      </c>
      <c r="D99" t="s">
        <v>13</v>
      </c>
      <c r="E99" s="2">
        <v>55</v>
      </c>
      <c r="F99" t="s">
        <v>11</v>
      </c>
      <c r="G99" s="2">
        <v>2</v>
      </c>
      <c r="H99" s="15">
        <v>50</v>
      </c>
      <c r="I99" s="14">
        <v>100</v>
      </c>
    </row>
    <row r="100" spans="1:9" x14ac:dyDescent="0.25">
      <c r="A100">
        <v>99</v>
      </c>
      <c r="B100" s="1" t="d">
        <v>2023-12-17</v>
      </c>
      <c r="C100" t="s">
        <v>112</v>
      </c>
      <c r="D100" t="s">
        <v>13</v>
      </c>
      <c r="E100" s="2">
        <v>50</v>
      </c>
      <c r="F100" t="s">
        <v>16</v>
      </c>
      <c r="G100" s="2">
        <v>4</v>
      </c>
      <c r="H100" s="15">
        <v>300</v>
      </c>
      <c r="I100" s="14">
        <v>1200</v>
      </c>
    </row>
    <row r="101" spans="1:9" x14ac:dyDescent="0.25">
      <c r="A101">
        <v>100</v>
      </c>
      <c r="B101" s="1" t="d">
        <v>2023-06-16</v>
      </c>
      <c r="C101" t="s">
        <v>113</v>
      </c>
      <c r="D101" t="s">
        <v>10</v>
      </c>
      <c r="E101" s="2">
        <v>41</v>
      </c>
      <c r="F101" t="s">
        <v>16</v>
      </c>
      <c r="G101" s="2">
        <v>1</v>
      </c>
      <c r="H101" s="15">
        <v>30</v>
      </c>
      <c r="I101" s="14">
        <v>30</v>
      </c>
    </row>
    <row r="102" spans="1:9" x14ac:dyDescent="0.25">
      <c r="A102">
        <v>101</v>
      </c>
      <c r="B102" s="1" t="d">
        <v>2023-01-29</v>
      </c>
      <c r="C102" t="s">
        <v>114</v>
      </c>
      <c r="D102" t="s">
        <v>10</v>
      </c>
      <c r="E102" s="2">
        <v>32</v>
      </c>
      <c r="F102" t="s">
        <v>14</v>
      </c>
      <c r="G102" s="2">
        <v>2</v>
      </c>
      <c r="H102" s="15">
        <v>300</v>
      </c>
      <c r="I102" s="14">
        <v>600</v>
      </c>
    </row>
    <row r="103" spans="1:9" x14ac:dyDescent="0.25">
      <c r="A103">
        <v>102</v>
      </c>
      <c r="B103" s="1" t="d">
        <v>2023-04-28</v>
      </c>
      <c r="C103" t="s">
        <v>115</v>
      </c>
      <c r="D103" t="s">
        <v>13</v>
      </c>
      <c r="E103" s="2">
        <v>47</v>
      </c>
      <c r="F103" t="s">
        <v>11</v>
      </c>
      <c r="G103" s="2">
        <v>2</v>
      </c>
      <c r="H103" s="15">
        <v>25</v>
      </c>
      <c r="I103" s="14">
        <v>50</v>
      </c>
    </row>
    <row r="104" spans="1:9" x14ac:dyDescent="0.25">
      <c r="A104">
        <v>103</v>
      </c>
      <c r="B104" s="1" t="d">
        <v>2023-01-17</v>
      </c>
      <c r="C104" t="s">
        <v>116</v>
      </c>
      <c r="D104" t="s">
        <v>13</v>
      </c>
      <c r="E104" s="2">
        <v>59</v>
      </c>
      <c r="F104" t="s">
        <v>14</v>
      </c>
      <c r="G104" s="2">
        <v>1</v>
      </c>
      <c r="H104" s="15">
        <v>25</v>
      </c>
      <c r="I104" s="14">
        <v>25</v>
      </c>
    </row>
    <row r="105" spans="1:9" x14ac:dyDescent="0.25">
      <c r="A105">
        <v>104</v>
      </c>
      <c r="B105" s="1" t="d">
        <v>2023-06-11</v>
      </c>
      <c r="C105" t="s">
        <v>117</v>
      </c>
      <c r="D105" t="s">
        <v>13</v>
      </c>
      <c r="E105" s="2">
        <v>34</v>
      </c>
      <c r="F105" t="s">
        <v>11</v>
      </c>
      <c r="G105" s="2">
        <v>2</v>
      </c>
      <c r="H105" s="15">
        <v>500</v>
      </c>
      <c r="I105" s="14">
        <v>1000</v>
      </c>
    </row>
    <row r="106" spans="1:9" x14ac:dyDescent="0.25">
      <c r="A106">
        <v>105</v>
      </c>
      <c r="B106" s="1" t="d">
        <v>2023-07-25</v>
      </c>
      <c r="C106" t="s">
        <v>118</v>
      </c>
      <c r="D106" t="s">
        <v>13</v>
      </c>
      <c r="E106" s="2">
        <v>22</v>
      </c>
      <c r="F106" t="s">
        <v>16</v>
      </c>
      <c r="G106" s="2">
        <v>1</v>
      </c>
      <c r="H106" s="15">
        <v>500</v>
      </c>
      <c r="I106" s="14">
        <v>500</v>
      </c>
    </row>
    <row r="107" spans="1:9" x14ac:dyDescent="0.25">
      <c r="A107">
        <v>106</v>
      </c>
      <c r="B107" s="1" t="d">
        <v>2023-05-18</v>
      </c>
      <c r="C107" t="s">
        <v>119</v>
      </c>
      <c r="D107" t="s">
        <v>13</v>
      </c>
      <c r="E107" s="2">
        <v>46</v>
      </c>
      <c r="F107" t="s">
        <v>14</v>
      </c>
      <c r="G107" s="2">
        <v>1</v>
      </c>
      <c r="H107" s="15">
        <v>50</v>
      </c>
      <c r="I107" s="14">
        <v>50</v>
      </c>
    </row>
    <row r="108" spans="1:9" x14ac:dyDescent="0.25">
      <c r="A108">
        <v>107</v>
      </c>
      <c r="B108" s="1" t="d">
        <v>2023-02-03</v>
      </c>
      <c r="C108" t="s">
        <v>120</v>
      </c>
      <c r="D108" t="s">
        <v>13</v>
      </c>
      <c r="E108" s="2">
        <v>21</v>
      </c>
      <c r="F108" t="s">
        <v>14</v>
      </c>
      <c r="G108" s="2">
        <v>4</v>
      </c>
      <c r="H108" s="15">
        <v>300</v>
      </c>
      <c r="I108" s="14">
        <v>1200</v>
      </c>
    </row>
    <row r="109" spans="1:9" x14ac:dyDescent="0.25">
      <c r="A109">
        <v>108</v>
      </c>
      <c r="B109" s="1" t="d">
        <v>2023-04-19</v>
      </c>
      <c r="C109" t="s">
        <v>121</v>
      </c>
      <c r="D109" t="s">
        <v>13</v>
      </c>
      <c r="E109" s="2">
        <v>27</v>
      </c>
      <c r="F109" t="s">
        <v>11</v>
      </c>
      <c r="G109" s="2">
        <v>3</v>
      </c>
      <c r="H109" s="15">
        <v>25</v>
      </c>
      <c r="I109" s="14">
        <v>75</v>
      </c>
    </row>
    <row r="110" spans="1:9" x14ac:dyDescent="0.25">
      <c r="A110">
        <v>109</v>
      </c>
      <c r="B110" s="1" t="d">
        <v>2023-10-18</v>
      </c>
      <c r="C110" t="s">
        <v>122</v>
      </c>
      <c r="D110" t="s">
        <v>13</v>
      </c>
      <c r="E110" s="2">
        <v>34</v>
      </c>
      <c r="F110" t="s">
        <v>16</v>
      </c>
      <c r="G110" s="2">
        <v>4</v>
      </c>
      <c r="H110" s="15">
        <v>500</v>
      </c>
      <c r="I110" s="14">
        <v>2000</v>
      </c>
    </row>
    <row r="111" spans="1:9" x14ac:dyDescent="0.25">
      <c r="A111">
        <v>110</v>
      </c>
      <c r="B111" s="1" t="d">
        <v>2023-06-11</v>
      </c>
      <c r="C111" t="s">
        <v>123</v>
      </c>
      <c r="D111" t="s">
        <v>10</v>
      </c>
      <c r="E111" s="2">
        <v>27</v>
      </c>
      <c r="F111" t="s">
        <v>14</v>
      </c>
      <c r="G111" s="2">
        <v>3</v>
      </c>
      <c r="H111" s="15">
        <v>300</v>
      </c>
      <c r="I111" s="14">
        <v>900</v>
      </c>
    </row>
    <row r="112" spans="1:9" x14ac:dyDescent="0.25">
      <c r="A112">
        <v>111</v>
      </c>
      <c r="B112" s="1" t="d">
        <v>2023-04-19</v>
      </c>
      <c r="C112" t="s">
        <v>124</v>
      </c>
      <c r="D112" t="s">
        <v>13</v>
      </c>
      <c r="E112" s="2">
        <v>34</v>
      </c>
      <c r="F112" t="s">
        <v>16</v>
      </c>
      <c r="G112" s="2">
        <v>3</v>
      </c>
      <c r="H112" s="15">
        <v>500</v>
      </c>
      <c r="I112" s="14">
        <v>1500</v>
      </c>
    </row>
    <row r="113" spans="1:9" x14ac:dyDescent="0.25">
      <c r="A113">
        <v>112</v>
      </c>
      <c r="B113" s="1" t="d">
        <v>2023-12-02</v>
      </c>
      <c r="C113" t="s">
        <v>125</v>
      </c>
      <c r="D113" t="s">
        <v>10</v>
      </c>
      <c r="E113" s="2">
        <v>37</v>
      </c>
      <c r="F113" t="s">
        <v>14</v>
      </c>
      <c r="G113" s="2">
        <v>3</v>
      </c>
      <c r="H113" s="15">
        <v>500</v>
      </c>
      <c r="I113" s="14">
        <v>1500</v>
      </c>
    </row>
    <row r="114" spans="1:9" x14ac:dyDescent="0.25">
      <c r="A114">
        <v>113</v>
      </c>
      <c r="B114" s="1" t="d">
        <v>2023-09-13</v>
      </c>
      <c r="C114" t="s">
        <v>126</v>
      </c>
      <c r="D114" t="s">
        <v>13</v>
      </c>
      <c r="E114" s="2">
        <v>41</v>
      </c>
      <c r="F114" t="s">
        <v>16</v>
      </c>
      <c r="G114" s="2">
        <v>2</v>
      </c>
      <c r="H114" s="15">
        <v>25</v>
      </c>
      <c r="I114" s="14">
        <v>50</v>
      </c>
    </row>
    <row r="115" spans="1:9" x14ac:dyDescent="0.25">
      <c r="A115">
        <v>114</v>
      </c>
      <c r="B115" s="1" t="d">
        <v>2023-07-22</v>
      </c>
      <c r="C115" t="s">
        <v>127</v>
      </c>
      <c r="D115" t="s">
        <v>13</v>
      </c>
      <c r="E115" s="2">
        <v>22</v>
      </c>
      <c r="F115" t="s">
        <v>11</v>
      </c>
      <c r="G115" s="2">
        <v>4</v>
      </c>
      <c r="H115" s="15">
        <v>25</v>
      </c>
      <c r="I115" s="14">
        <v>100</v>
      </c>
    </row>
    <row r="116" spans="1:9" x14ac:dyDescent="0.25">
      <c r="A116">
        <v>115</v>
      </c>
      <c r="B116" s="1" t="d">
        <v>2023-11-26</v>
      </c>
      <c r="C116" t="s">
        <v>128</v>
      </c>
      <c r="D116" t="s">
        <v>10</v>
      </c>
      <c r="E116" s="2">
        <v>51</v>
      </c>
      <c r="F116" t="s">
        <v>14</v>
      </c>
      <c r="G116" s="2">
        <v>3</v>
      </c>
      <c r="H116" s="15">
        <v>500</v>
      </c>
      <c r="I116" s="14">
        <v>1500</v>
      </c>
    </row>
    <row r="117" spans="1:9" x14ac:dyDescent="0.25">
      <c r="A117">
        <v>116</v>
      </c>
      <c r="B117" s="1" t="d">
        <v>2023-08-23</v>
      </c>
      <c r="C117" t="s">
        <v>129</v>
      </c>
      <c r="D117" t="s">
        <v>13</v>
      </c>
      <c r="E117" s="2">
        <v>23</v>
      </c>
      <c r="F117" t="s">
        <v>14</v>
      </c>
      <c r="G117" s="2">
        <v>1</v>
      </c>
      <c r="H117" s="15">
        <v>30</v>
      </c>
      <c r="I117" s="14">
        <v>30</v>
      </c>
    </row>
    <row r="118" spans="1:9" x14ac:dyDescent="0.25">
      <c r="A118">
        <v>117</v>
      </c>
      <c r="B118" s="1" t="d">
        <v>2023-03-15</v>
      </c>
      <c r="C118" t="s">
        <v>130</v>
      </c>
      <c r="D118" t="s">
        <v>10</v>
      </c>
      <c r="E118" s="2">
        <v>19</v>
      </c>
      <c r="F118" t="s">
        <v>16</v>
      </c>
      <c r="G118" s="2">
        <v>2</v>
      </c>
      <c r="H118" s="15">
        <v>500</v>
      </c>
      <c r="I118" s="14">
        <v>1000</v>
      </c>
    </row>
    <row r="119" spans="1:9" x14ac:dyDescent="0.25">
      <c r="A119">
        <v>118</v>
      </c>
      <c r="B119" s="1" t="d">
        <v>2023-05-16</v>
      </c>
      <c r="C119" t="s">
        <v>131</v>
      </c>
      <c r="D119" t="s">
        <v>13</v>
      </c>
      <c r="E119" s="2">
        <v>30</v>
      </c>
      <c r="F119" t="s">
        <v>16</v>
      </c>
      <c r="G119" s="2">
        <v>4</v>
      </c>
      <c r="H119" s="15">
        <v>500</v>
      </c>
      <c r="I119" s="14">
        <v>2000</v>
      </c>
    </row>
    <row r="120" spans="1:9" x14ac:dyDescent="0.25">
      <c r="A120">
        <v>119</v>
      </c>
      <c r="B120" s="1" t="d">
        <v>2023-03-13</v>
      </c>
      <c r="C120" t="s">
        <v>132</v>
      </c>
      <c r="D120" t="s">
        <v>13</v>
      </c>
      <c r="E120" s="2">
        <v>60</v>
      </c>
      <c r="F120" t="s">
        <v>14</v>
      </c>
      <c r="G120" s="2">
        <v>3</v>
      </c>
      <c r="H120" s="15">
        <v>50</v>
      </c>
      <c r="I120" s="14">
        <v>150</v>
      </c>
    </row>
    <row r="121" spans="1:9" x14ac:dyDescent="0.25">
      <c r="A121">
        <v>120</v>
      </c>
      <c r="B121" s="1" t="d">
        <v>2023-05-07</v>
      </c>
      <c r="C121" t="s">
        <v>133</v>
      </c>
      <c r="D121" t="s">
        <v>10</v>
      </c>
      <c r="E121" s="2">
        <v>60</v>
      </c>
      <c r="F121" t="s">
        <v>11</v>
      </c>
      <c r="G121" s="2">
        <v>1</v>
      </c>
      <c r="H121" s="15">
        <v>50</v>
      </c>
      <c r="I121" s="14">
        <v>50</v>
      </c>
    </row>
    <row r="122" spans="1:9" x14ac:dyDescent="0.25">
      <c r="A122">
        <v>121</v>
      </c>
      <c r="B122" s="1" t="d">
        <v>2023-10-15</v>
      </c>
      <c r="C122" t="s">
        <v>134</v>
      </c>
      <c r="D122" t="s">
        <v>13</v>
      </c>
      <c r="E122" s="2">
        <v>28</v>
      </c>
      <c r="F122" t="s">
        <v>16</v>
      </c>
      <c r="G122" s="2">
        <v>4</v>
      </c>
      <c r="H122" s="15">
        <v>50</v>
      </c>
      <c r="I122" s="14">
        <v>200</v>
      </c>
    </row>
    <row r="123" spans="1:9" x14ac:dyDescent="0.25">
      <c r="A123">
        <v>122</v>
      </c>
      <c r="B123" s="1" t="d">
        <v>2023-10-03</v>
      </c>
      <c r="C123" t="s">
        <v>135</v>
      </c>
      <c r="D123" t="s">
        <v>10</v>
      </c>
      <c r="E123" s="2">
        <v>64</v>
      </c>
      <c r="F123" t="s">
        <v>16</v>
      </c>
      <c r="G123" s="2">
        <v>4</v>
      </c>
      <c r="H123" s="15">
        <v>30</v>
      </c>
      <c r="I123" s="14">
        <v>120</v>
      </c>
    </row>
    <row r="124" spans="1:9" x14ac:dyDescent="0.25">
      <c r="A124">
        <v>123</v>
      </c>
      <c r="B124" s="1" t="d">
        <v>2023-05-15</v>
      </c>
      <c r="C124" t="s">
        <v>136</v>
      </c>
      <c r="D124" t="s">
        <v>13</v>
      </c>
      <c r="E124" s="2">
        <v>40</v>
      </c>
      <c r="F124" t="s">
        <v>16</v>
      </c>
      <c r="G124" s="2">
        <v>2</v>
      </c>
      <c r="H124" s="15">
        <v>30</v>
      </c>
      <c r="I124" s="14">
        <v>60</v>
      </c>
    </row>
    <row r="125" spans="1:9" x14ac:dyDescent="0.25">
      <c r="A125">
        <v>124</v>
      </c>
      <c r="B125" s="1" t="d">
        <v>2023-10-27</v>
      </c>
      <c r="C125" t="s">
        <v>137</v>
      </c>
      <c r="D125" t="s">
        <v>10</v>
      </c>
      <c r="E125" s="2">
        <v>33</v>
      </c>
      <c r="F125" t="s">
        <v>14</v>
      </c>
      <c r="G125" s="2">
        <v>4</v>
      </c>
      <c r="H125" s="15">
        <v>500</v>
      </c>
      <c r="I125" s="14">
        <v>2000</v>
      </c>
    </row>
    <row r="126" spans="1:9" x14ac:dyDescent="0.25">
      <c r="A126">
        <v>125</v>
      </c>
      <c r="B126" s="1" t="d">
        <v>2023-08-08</v>
      </c>
      <c r="C126" t="s">
        <v>138</v>
      </c>
      <c r="D126" t="s">
        <v>10</v>
      </c>
      <c r="E126" s="2">
        <v>48</v>
      </c>
      <c r="F126" t="s">
        <v>14</v>
      </c>
      <c r="G126" s="2">
        <v>2</v>
      </c>
      <c r="H126" s="15">
        <v>50</v>
      </c>
      <c r="I126" s="14">
        <v>100</v>
      </c>
    </row>
    <row r="127" spans="1:9" x14ac:dyDescent="0.25">
      <c r="A127">
        <v>126</v>
      </c>
      <c r="B127" s="1" t="d">
        <v>2023-10-26</v>
      </c>
      <c r="C127" t="s">
        <v>139</v>
      </c>
      <c r="D127" t="s">
        <v>13</v>
      </c>
      <c r="E127" s="2">
        <v>28</v>
      </c>
      <c r="F127" t="s">
        <v>14</v>
      </c>
      <c r="G127" s="2">
        <v>3</v>
      </c>
      <c r="H127" s="15">
        <v>30</v>
      </c>
      <c r="I127" s="14">
        <v>90</v>
      </c>
    </row>
    <row r="128" spans="1:9" x14ac:dyDescent="0.25">
      <c r="A128">
        <v>127</v>
      </c>
      <c r="B128" s="1" t="d">
        <v>2023-07-24</v>
      </c>
      <c r="C128" t="s">
        <v>140</v>
      </c>
      <c r="D128" t="s">
        <v>13</v>
      </c>
      <c r="E128" s="2">
        <v>33</v>
      </c>
      <c r="F128" t="s">
        <v>14</v>
      </c>
      <c r="G128" s="2">
        <v>2</v>
      </c>
      <c r="H128" s="15">
        <v>25</v>
      </c>
      <c r="I128" s="14">
        <v>50</v>
      </c>
    </row>
    <row r="129" spans="1:9" x14ac:dyDescent="0.25">
      <c r="A129">
        <v>128</v>
      </c>
      <c r="B129" s="1" t="d">
        <v>2023-07-05</v>
      </c>
      <c r="C129" t="s">
        <v>141</v>
      </c>
      <c r="D129" t="s">
        <v>10</v>
      </c>
      <c r="E129" s="2">
        <v>25</v>
      </c>
      <c r="F129" t="s">
        <v>11</v>
      </c>
      <c r="G129" s="2">
        <v>1</v>
      </c>
      <c r="H129" s="15">
        <v>500</v>
      </c>
      <c r="I129" s="14">
        <v>500</v>
      </c>
    </row>
    <row r="130" spans="1:9" x14ac:dyDescent="0.25">
      <c r="A130">
        <v>129</v>
      </c>
      <c r="B130" s="1" t="d">
        <v>2023-04-23</v>
      </c>
      <c r="C130" t="s">
        <v>142</v>
      </c>
      <c r="D130" t="s">
        <v>13</v>
      </c>
      <c r="E130" s="2">
        <v>21</v>
      </c>
      <c r="F130" t="s">
        <v>11</v>
      </c>
      <c r="G130" s="2">
        <v>2</v>
      </c>
      <c r="H130" s="15">
        <v>300</v>
      </c>
      <c r="I130" s="14">
        <v>600</v>
      </c>
    </row>
    <row r="131" spans="1:9" x14ac:dyDescent="0.25">
      <c r="A131">
        <v>130</v>
      </c>
      <c r="B131" s="1" t="d">
        <v>2023-03-12</v>
      </c>
      <c r="C131" t="s">
        <v>143</v>
      </c>
      <c r="D131" t="s">
        <v>13</v>
      </c>
      <c r="E131" s="2">
        <v>57</v>
      </c>
      <c r="F131" t="s">
        <v>14</v>
      </c>
      <c r="G131" s="2">
        <v>1</v>
      </c>
      <c r="H131" s="15">
        <v>500</v>
      </c>
      <c r="I131" s="14">
        <v>500</v>
      </c>
    </row>
    <row r="132" spans="1:9" x14ac:dyDescent="0.25">
      <c r="A132">
        <v>131</v>
      </c>
      <c r="B132" s="1" t="d">
        <v>2023-09-18</v>
      </c>
      <c r="C132" t="s">
        <v>144</v>
      </c>
      <c r="D132" t="s">
        <v>13</v>
      </c>
      <c r="E132" s="2">
        <v>21</v>
      </c>
      <c r="F132" t="s">
        <v>11</v>
      </c>
      <c r="G132" s="2">
        <v>2</v>
      </c>
      <c r="H132" s="15">
        <v>300</v>
      </c>
      <c r="I132" s="14">
        <v>600</v>
      </c>
    </row>
    <row r="133" spans="1:9" x14ac:dyDescent="0.25">
      <c r="A133">
        <v>132</v>
      </c>
      <c r="B133" s="1" t="d">
        <v>2023-09-10</v>
      </c>
      <c r="C133" t="s">
        <v>145</v>
      </c>
      <c r="D133" t="s">
        <v>10</v>
      </c>
      <c r="E133" s="2">
        <v>42</v>
      </c>
      <c r="F133" t="s">
        <v>16</v>
      </c>
      <c r="G133" s="2">
        <v>4</v>
      </c>
      <c r="H133" s="15">
        <v>50</v>
      </c>
      <c r="I133" s="14">
        <v>200</v>
      </c>
    </row>
    <row r="134" spans="1:9" x14ac:dyDescent="0.25">
      <c r="A134">
        <v>133</v>
      </c>
      <c r="B134" s="1" t="d">
        <v>2023-02-16</v>
      </c>
      <c r="C134" t="s">
        <v>146</v>
      </c>
      <c r="D134" t="s">
        <v>10</v>
      </c>
      <c r="E134" s="2">
        <v>20</v>
      </c>
      <c r="F134" t="s">
        <v>16</v>
      </c>
      <c r="G134" s="2">
        <v>3</v>
      </c>
      <c r="H134" s="15">
        <v>300</v>
      </c>
      <c r="I134" s="14">
        <v>900</v>
      </c>
    </row>
    <row r="135" spans="1:9" x14ac:dyDescent="0.25">
      <c r="A135">
        <v>134</v>
      </c>
      <c r="B135" s="1" t="d">
        <v>2023-01-25</v>
      </c>
      <c r="C135" t="s">
        <v>147</v>
      </c>
      <c r="D135" t="s">
        <v>10</v>
      </c>
      <c r="E135" s="2">
        <v>49</v>
      </c>
      <c r="F135" t="s">
        <v>16</v>
      </c>
      <c r="G135" s="2">
        <v>1</v>
      </c>
      <c r="H135" s="15">
        <v>50</v>
      </c>
      <c r="I135" s="14">
        <v>50</v>
      </c>
    </row>
    <row r="136" spans="1:9" x14ac:dyDescent="0.25">
      <c r="A136">
        <v>135</v>
      </c>
      <c r="B136" s="1" t="d">
        <v>2023-02-26</v>
      </c>
      <c r="C136" t="s">
        <v>148</v>
      </c>
      <c r="D136" t="s">
        <v>10</v>
      </c>
      <c r="E136" s="2">
        <v>20</v>
      </c>
      <c r="F136" t="s">
        <v>14</v>
      </c>
      <c r="G136" s="2">
        <v>2</v>
      </c>
      <c r="H136" s="15">
        <v>25</v>
      </c>
      <c r="I136" s="14">
        <v>50</v>
      </c>
    </row>
    <row r="137" spans="1:9" x14ac:dyDescent="0.25">
      <c r="A137">
        <v>136</v>
      </c>
      <c r="B137" s="1" t="d">
        <v>2023-03-20</v>
      </c>
      <c r="C137" t="s">
        <v>149</v>
      </c>
      <c r="D137" t="s">
        <v>10</v>
      </c>
      <c r="E137" s="2">
        <v>44</v>
      </c>
      <c r="F137" t="s">
        <v>16</v>
      </c>
      <c r="G137" s="2">
        <v>2</v>
      </c>
      <c r="H137" s="15">
        <v>300</v>
      </c>
      <c r="I137" s="14">
        <v>600</v>
      </c>
    </row>
    <row r="138" spans="1:9" x14ac:dyDescent="0.25">
      <c r="A138">
        <v>137</v>
      </c>
      <c r="B138" s="1" t="d">
        <v>2023-11-18</v>
      </c>
      <c r="C138" t="s">
        <v>150</v>
      </c>
      <c r="D138" t="s">
        <v>10</v>
      </c>
      <c r="E138" s="2">
        <v>46</v>
      </c>
      <c r="F138" t="s">
        <v>11</v>
      </c>
      <c r="G138" s="2">
        <v>2</v>
      </c>
      <c r="H138" s="15">
        <v>500</v>
      </c>
      <c r="I138" s="14">
        <v>1000</v>
      </c>
    </row>
    <row r="139" spans="1:9" x14ac:dyDescent="0.25">
      <c r="A139">
        <v>138</v>
      </c>
      <c r="B139" s="1" t="d">
        <v>2023-03-23</v>
      </c>
      <c r="C139" t="s">
        <v>151</v>
      </c>
      <c r="D139" t="s">
        <v>10</v>
      </c>
      <c r="E139" s="2">
        <v>49</v>
      </c>
      <c r="F139" t="s">
        <v>14</v>
      </c>
      <c r="G139" s="2">
        <v>4</v>
      </c>
      <c r="H139" s="15">
        <v>50</v>
      </c>
      <c r="I139" s="14">
        <v>200</v>
      </c>
    </row>
    <row r="140" spans="1:9" x14ac:dyDescent="0.25">
      <c r="A140">
        <v>139</v>
      </c>
      <c r="B140" s="1" t="d">
        <v>2023-12-15</v>
      </c>
      <c r="C140" t="s">
        <v>152</v>
      </c>
      <c r="D140" t="s">
        <v>10</v>
      </c>
      <c r="E140" s="2">
        <v>36</v>
      </c>
      <c r="F140" t="s">
        <v>11</v>
      </c>
      <c r="G140" s="2">
        <v>4</v>
      </c>
      <c r="H140" s="15">
        <v>500</v>
      </c>
      <c r="I140" s="14">
        <v>2000</v>
      </c>
    </row>
    <row r="141" spans="1:9" x14ac:dyDescent="0.25">
      <c r="A141">
        <v>140</v>
      </c>
      <c r="B141" s="1" t="d">
        <v>2023-08-05</v>
      </c>
      <c r="C141" t="s">
        <v>153</v>
      </c>
      <c r="D141" t="s">
        <v>10</v>
      </c>
      <c r="E141" s="2">
        <v>38</v>
      </c>
      <c r="F141" t="s">
        <v>16</v>
      </c>
      <c r="G141" s="2">
        <v>1</v>
      </c>
      <c r="H141" s="15">
        <v>30</v>
      </c>
      <c r="I141" s="14">
        <v>30</v>
      </c>
    </row>
    <row r="142" spans="1:9" x14ac:dyDescent="0.25">
      <c r="A142">
        <v>141</v>
      </c>
      <c r="B142" s="1" t="d">
        <v>2023-11-02</v>
      </c>
      <c r="C142" t="s">
        <v>154</v>
      </c>
      <c r="D142" t="s">
        <v>13</v>
      </c>
      <c r="E142" s="2">
        <v>22</v>
      </c>
      <c r="F142" t="s">
        <v>16</v>
      </c>
      <c r="G142" s="2">
        <v>1</v>
      </c>
      <c r="H142" s="15">
        <v>50</v>
      </c>
      <c r="I142" s="14">
        <v>50</v>
      </c>
    </row>
    <row r="143" spans="1:9" x14ac:dyDescent="0.25">
      <c r="A143">
        <v>142</v>
      </c>
      <c r="B143" s="1" t="d">
        <v>2023-02-02</v>
      </c>
      <c r="C143" t="s">
        <v>155</v>
      </c>
      <c r="D143" t="s">
        <v>10</v>
      </c>
      <c r="E143" s="2">
        <v>35</v>
      </c>
      <c r="F143" t="s">
        <v>16</v>
      </c>
      <c r="G143" s="2">
        <v>4</v>
      </c>
      <c r="H143" s="15">
        <v>300</v>
      </c>
      <c r="I143" s="14">
        <v>1200</v>
      </c>
    </row>
    <row r="144" spans="1:9" x14ac:dyDescent="0.25">
      <c r="A144">
        <v>143</v>
      </c>
      <c r="B144" s="1" t="d">
        <v>2023-07-17</v>
      </c>
      <c r="C144" t="s">
        <v>156</v>
      </c>
      <c r="D144" t="s">
        <v>13</v>
      </c>
      <c r="E144" s="2">
        <v>45</v>
      </c>
      <c r="F144" t="s">
        <v>14</v>
      </c>
      <c r="G144" s="2">
        <v>1</v>
      </c>
      <c r="H144" s="15">
        <v>50</v>
      </c>
      <c r="I144" s="14">
        <v>50</v>
      </c>
    </row>
    <row r="145" spans="1:9" x14ac:dyDescent="0.25">
      <c r="A145">
        <v>144</v>
      </c>
      <c r="B145" s="1" t="d">
        <v>2023-07-15</v>
      </c>
      <c r="C145" t="s">
        <v>157</v>
      </c>
      <c r="D145" t="s">
        <v>13</v>
      </c>
      <c r="E145" s="2">
        <v>59</v>
      </c>
      <c r="F145" t="s">
        <v>11</v>
      </c>
      <c r="G145" s="2">
        <v>3</v>
      </c>
      <c r="H145" s="15">
        <v>500</v>
      </c>
      <c r="I145" s="14">
        <v>1500</v>
      </c>
    </row>
    <row r="146" spans="1:9" x14ac:dyDescent="0.25">
      <c r="A146">
        <v>145</v>
      </c>
      <c r="B146" s="1" t="d">
        <v>2023-11-02</v>
      </c>
      <c r="C146" t="s">
        <v>158</v>
      </c>
      <c r="D146" t="s">
        <v>13</v>
      </c>
      <c r="E146" s="2">
        <v>39</v>
      </c>
      <c r="F146" t="s">
        <v>14</v>
      </c>
      <c r="G146" s="2">
        <v>3</v>
      </c>
      <c r="H146" s="15">
        <v>25</v>
      </c>
      <c r="I146" s="14">
        <v>75</v>
      </c>
    </row>
    <row r="147" spans="1:9" x14ac:dyDescent="0.25">
      <c r="A147">
        <v>146</v>
      </c>
      <c r="B147" s="1" t="d">
        <v>2023-08-28</v>
      </c>
      <c r="C147" t="s">
        <v>159</v>
      </c>
      <c r="D147" t="s">
        <v>10</v>
      </c>
      <c r="E147" s="2">
        <v>38</v>
      </c>
      <c r="F147" t="s">
        <v>14</v>
      </c>
      <c r="G147" s="2">
        <v>4</v>
      </c>
      <c r="H147" s="15">
        <v>50</v>
      </c>
      <c r="I147" s="14">
        <v>200</v>
      </c>
    </row>
    <row r="148" spans="1:9" x14ac:dyDescent="0.25">
      <c r="A148">
        <v>147</v>
      </c>
      <c r="B148" s="1" t="d">
        <v>2023-09-28</v>
      </c>
      <c r="C148" t="s">
        <v>160</v>
      </c>
      <c r="D148" t="s">
        <v>10</v>
      </c>
      <c r="E148" s="2">
        <v>23</v>
      </c>
      <c r="F148" t="s">
        <v>16</v>
      </c>
      <c r="G148" s="2">
        <v>1</v>
      </c>
      <c r="H148" s="15">
        <v>300</v>
      </c>
      <c r="I148" s="14">
        <v>300</v>
      </c>
    </row>
    <row r="149" spans="1:9" x14ac:dyDescent="0.25">
      <c r="A149">
        <v>148</v>
      </c>
      <c r="B149" s="1" t="d">
        <v>2023-05-09</v>
      </c>
      <c r="C149" t="s">
        <v>161</v>
      </c>
      <c r="D149" t="s">
        <v>10</v>
      </c>
      <c r="E149" s="2">
        <v>18</v>
      </c>
      <c r="F149" t="s">
        <v>14</v>
      </c>
      <c r="G149" s="2">
        <v>2</v>
      </c>
      <c r="H149" s="15">
        <v>30</v>
      </c>
      <c r="I149" s="14">
        <v>60</v>
      </c>
    </row>
    <row r="150" spans="1:9" x14ac:dyDescent="0.25">
      <c r="A150">
        <v>149</v>
      </c>
      <c r="B150" s="1" t="d">
        <v>2023-10-11</v>
      </c>
      <c r="C150" t="s">
        <v>162</v>
      </c>
      <c r="D150" t="s">
        <v>10</v>
      </c>
      <c r="E150" s="2">
        <v>22</v>
      </c>
      <c r="F150" t="s">
        <v>14</v>
      </c>
      <c r="G150" s="2">
        <v>3</v>
      </c>
      <c r="H150" s="15">
        <v>25</v>
      </c>
      <c r="I150" s="14">
        <v>75</v>
      </c>
    </row>
    <row r="151" spans="1:9" x14ac:dyDescent="0.25">
      <c r="A151">
        <v>150</v>
      </c>
      <c r="B151" s="1" t="d">
        <v>2023-01-06</v>
      </c>
      <c r="C151" t="s">
        <v>163</v>
      </c>
      <c r="D151" t="s">
        <v>13</v>
      </c>
      <c r="E151" s="2">
        <v>58</v>
      </c>
      <c r="F151" t="s">
        <v>16</v>
      </c>
      <c r="G151" s="2">
        <v>4</v>
      </c>
      <c r="H151" s="15">
        <v>30</v>
      </c>
      <c r="I151" s="14">
        <v>120</v>
      </c>
    </row>
    <row r="152" spans="1:9" x14ac:dyDescent="0.25">
      <c r="A152">
        <v>151</v>
      </c>
      <c r="B152" s="1" t="d">
        <v>2023-12-15</v>
      </c>
      <c r="C152" t="s">
        <v>164</v>
      </c>
      <c r="D152" t="s">
        <v>10</v>
      </c>
      <c r="E152" s="2">
        <v>29</v>
      </c>
      <c r="F152" t="s">
        <v>14</v>
      </c>
      <c r="G152" s="2">
        <v>1</v>
      </c>
      <c r="H152" s="15">
        <v>50</v>
      </c>
      <c r="I152" s="14">
        <v>50</v>
      </c>
    </row>
    <row r="153" spans="1:9" x14ac:dyDescent="0.25">
      <c r="A153">
        <v>152</v>
      </c>
      <c r="B153" s="1" t="d">
        <v>2023-02-28</v>
      </c>
      <c r="C153" t="s">
        <v>165</v>
      </c>
      <c r="D153" t="s">
        <v>10</v>
      </c>
      <c r="E153" s="2">
        <v>43</v>
      </c>
      <c r="F153" t="s">
        <v>16</v>
      </c>
      <c r="G153" s="2">
        <v>4</v>
      </c>
      <c r="H153" s="15">
        <v>500</v>
      </c>
      <c r="I153" s="14">
        <v>2000</v>
      </c>
    </row>
    <row r="154" spans="1:9" x14ac:dyDescent="0.25">
      <c r="A154">
        <v>153</v>
      </c>
      <c r="B154" s="1" t="d">
        <v>2023-12-16</v>
      </c>
      <c r="C154" t="s">
        <v>166</v>
      </c>
      <c r="D154" t="s">
        <v>10</v>
      </c>
      <c r="E154" s="2">
        <v>63</v>
      </c>
      <c r="F154" t="s">
        <v>16</v>
      </c>
      <c r="G154" s="2">
        <v>2</v>
      </c>
      <c r="H154" s="15">
        <v>500</v>
      </c>
      <c r="I154" s="14">
        <v>1000</v>
      </c>
    </row>
    <row r="155" spans="1:9" x14ac:dyDescent="0.25">
      <c r="A155">
        <v>154</v>
      </c>
      <c r="B155" s="1" t="d">
        <v>2023-10-02</v>
      </c>
      <c r="C155" t="s">
        <v>167</v>
      </c>
      <c r="D155" t="s">
        <v>10</v>
      </c>
      <c r="E155" s="2">
        <v>51</v>
      </c>
      <c r="F155" t="s">
        <v>16</v>
      </c>
      <c r="G155" s="2">
        <v>3</v>
      </c>
      <c r="H155" s="15">
        <v>300</v>
      </c>
      <c r="I155" s="14">
        <v>900</v>
      </c>
    </row>
    <row r="156" spans="1:9" x14ac:dyDescent="0.25">
      <c r="A156">
        <v>155</v>
      </c>
      <c r="B156" s="1" t="d">
        <v>2023-05-17</v>
      </c>
      <c r="C156" t="s">
        <v>168</v>
      </c>
      <c r="D156" t="s">
        <v>10</v>
      </c>
      <c r="E156" s="2">
        <v>31</v>
      </c>
      <c r="F156" t="s">
        <v>16</v>
      </c>
      <c r="G156" s="2">
        <v>4</v>
      </c>
      <c r="H156" s="15">
        <v>500</v>
      </c>
      <c r="I156" s="14">
        <v>2000</v>
      </c>
    </row>
    <row r="157" spans="1:9" x14ac:dyDescent="0.25">
      <c r="A157">
        <v>156</v>
      </c>
      <c r="B157" s="1" t="d">
        <v>2023-11-25</v>
      </c>
      <c r="C157" t="s">
        <v>169</v>
      </c>
      <c r="D157" t="s">
        <v>13</v>
      </c>
      <c r="E157" s="2">
        <v>43</v>
      </c>
      <c r="F157" t="s">
        <v>14</v>
      </c>
      <c r="G157" s="2">
        <v>4</v>
      </c>
      <c r="H157" s="15">
        <v>25</v>
      </c>
      <c r="I157" s="14">
        <v>100</v>
      </c>
    </row>
    <row r="158" spans="1:9" x14ac:dyDescent="0.25">
      <c r="A158">
        <v>157</v>
      </c>
      <c r="B158" s="1" t="d">
        <v>2023-06-24</v>
      </c>
      <c r="C158" t="s">
        <v>170</v>
      </c>
      <c r="D158" t="s">
        <v>10</v>
      </c>
      <c r="E158" s="2">
        <v>62</v>
      </c>
      <c r="F158" t="s">
        <v>16</v>
      </c>
      <c r="G158" s="2">
        <v>4</v>
      </c>
      <c r="H158" s="15">
        <v>500</v>
      </c>
      <c r="I158" s="14">
        <v>2000</v>
      </c>
    </row>
    <row r="159" spans="1:9" x14ac:dyDescent="0.25">
      <c r="A159">
        <v>158</v>
      </c>
      <c r="B159" s="1" t="d">
        <v>2023-02-27</v>
      </c>
      <c r="C159" t="s">
        <v>171</v>
      </c>
      <c r="D159" t="s">
        <v>13</v>
      </c>
      <c r="E159" s="2">
        <v>44</v>
      </c>
      <c r="F159" t="s">
        <v>16</v>
      </c>
      <c r="G159" s="2">
        <v>2</v>
      </c>
      <c r="H159" s="15">
        <v>300</v>
      </c>
      <c r="I159" s="14">
        <v>600</v>
      </c>
    </row>
    <row r="160" spans="1:9" x14ac:dyDescent="0.25">
      <c r="A160">
        <v>159</v>
      </c>
      <c r="B160" s="1" t="d">
        <v>2023-05-31</v>
      </c>
      <c r="C160" t="s">
        <v>172</v>
      </c>
      <c r="D160" t="s">
        <v>10</v>
      </c>
      <c r="E160" s="2">
        <v>26</v>
      </c>
      <c r="F160" t="s">
        <v>14</v>
      </c>
      <c r="G160" s="2">
        <v>4</v>
      </c>
      <c r="H160" s="15">
        <v>50</v>
      </c>
      <c r="I160" s="14">
        <v>200</v>
      </c>
    </row>
    <row r="161" spans="1:9" x14ac:dyDescent="0.25">
      <c r="A161">
        <v>160</v>
      </c>
      <c r="B161" s="1" t="d">
        <v>2023-08-11</v>
      </c>
      <c r="C161" t="s">
        <v>173</v>
      </c>
      <c r="D161" t="s">
        <v>13</v>
      </c>
      <c r="E161" s="2">
        <v>43</v>
      </c>
      <c r="F161" t="s">
        <v>14</v>
      </c>
      <c r="G161" s="2">
        <v>2</v>
      </c>
      <c r="H161" s="15">
        <v>50</v>
      </c>
      <c r="I161" s="14">
        <v>100</v>
      </c>
    </row>
    <row r="162" spans="1:9" x14ac:dyDescent="0.25">
      <c r="A162">
        <v>161</v>
      </c>
      <c r="B162" s="1" t="d">
        <v>2023-03-22</v>
      </c>
      <c r="C162" t="s">
        <v>174</v>
      </c>
      <c r="D162" t="s">
        <v>10</v>
      </c>
      <c r="E162" s="2">
        <v>64</v>
      </c>
      <c r="F162" t="s">
        <v>11</v>
      </c>
      <c r="G162" s="2">
        <v>2</v>
      </c>
      <c r="H162" s="15">
        <v>500</v>
      </c>
      <c r="I162" s="14">
        <v>1000</v>
      </c>
    </row>
    <row r="163" spans="1:9" x14ac:dyDescent="0.25">
      <c r="A163">
        <v>162</v>
      </c>
      <c r="B163" s="1" t="d">
        <v>2023-08-21</v>
      </c>
      <c r="C163" t="s">
        <v>175</v>
      </c>
      <c r="D163" t="s">
        <v>10</v>
      </c>
      <c r="E163" s="2">
        <v>39</v>
      </c>
      <c r="F163" t="s">
        <v>14</v>
      </c>
      <c r="G163" s="2">
        <v>2</v>
      </c>
      <c r="H163" s="15">
        <v>30</v>
      </c>
      <c r="I163" s="14">
        <v>60</v>
      </c>
    </row>
    <row r="164" spans="1:9" x14ac:dyDescent="0.25">
      <c r="A164">
        <v>163</v>
      </c>
      <c r="B164" s="1" t="d">
        <v>2023-01-02</v>
      </c>
      <c r="C164" t="s">
        <v>176</v>
      </c>
      <c r="D164" t="s">
        <v>13</v>
      </c>
      <c r="E164" s="2">
        <v>64</v>
      </c>
      <c r="F164" t="s">
        <v>14</v>
      </c>
      <c r="G164" s="2">
        <v>3</v>
      </c>
      <c r="H164" s="15">
        <v>50</v>
      </c>
      <c r="I164" s="14">
        <v>150</v>
      </c>
    </row>
    <row r="165" spans="1:9" x14ac:dyDescent="0.25">
      <c r="A165">
        <v>164</v>
      </c>
      <c r="B165" s="1" t="d">
        <v>2023-05-15</v>
      </c>
      <c r="C165" t="s">
        <v>177</v>
      </c>
      <c r="D165" t="s">
        <v>13</v>
      </c>
      <c r="E165" s="2">
        <v>47</v>
      </c>
      <c r="F165" t="s">
        <v>11</v>
      </c>
      <c r="G165" s="2">
        <v>3</v>
      </c>
      <c r="H165" s="15">
        <v>500</v>
      </c>
      <c r="I165" s="14">
        <v>1500</v>
      </c>
    </row>
    <row r="166" spans="1:9" x14ac:dyDescent="0.25">
      <c r="A166">
        <v>165</v>
      </c>
      <c r="B166" s="1" t="d">
        <v>2023-09-14</v>
      </c>
      <c r="C166" t="s">
        <v>178</v>
      </c>
      <c r="D166" t="s">
        <v>13</v>
      </c>
      <c r="E166" s="2">
        <v>60</v>
      </c>
      <c r="F166" t="s">
        <v>14</v>
      </c>
      <c r="G166" s="2">
        <v>4</v>
      </c>
      <c r="H166" s="15">
        <v>300</v>
      </c>
      <c r="I166" s="14">
        <v>1200</v>
      </c>
    </row>
    <row r="167" spans="1:9" x14ac:dyDescent="0.25">
      <c r="A167">
        <v>166</v>
      </c>
      <c r="B167" s="1" t="d">
        <v>2023-04-02</v>
      </c>
      <c r="C167" t="s">
        <v>179</v>
      </c>
      <c r="D167" t="s">
        <v>10</v>
      </c>
      <c r="E167" s="2">
        <v>34</v>
      </c>
      <c r="F167" t="s">
        <v>14</v>
      </c>
      <c r="G167" s="2">
        <v>4</v>
      </c>
      <c r="H167" s="15">
        <v>500</v>
      </c>
      <c r="I167" s="14">
        <v>2000</v>
      </c>
    </row>
    <row r="168" spans="1:9" x14ac:dyDescent="0.25">
      <c r="A168">
        <v>167</v>
      </c>
      <c r="B168" s="1" t="d">
        <v>2023-09-17</v>
      </c>
      <c r="C168" t="s">
        <v>180</v>
      </c>
      <c r="D168" t="s">
        <v>13</v>
      </c>
      <c r="E168" s="2">
        <v>43</v>
      </c>
      <c r="F168" t="s">
        <v>14</v>
      </c>
      <c r="G168" s="2">
        <v>3</v>
      </c>
      <c r="H168" s="15">
        <v>50</v>
      </c>
      <c r="I168" s="14">
        <v>150</v>
      </c>
    </row>
    <row r="169" spans="1:9" x14ac:dyDescent="0.25">
      <c r="A169">
        <v>168</v>
      </c>
      <c r="B169" s="1" t="d">
        <v>2023-02-24</v>
      </c>
      <c r="C169" t="s">
        <v>181</v>
      </c>
      <c r="D169" t="s">
        <v>10</v>
      </c>
      <c r="E169" s="2">
        <v>53</v>
      </c>
      <c r="F169" t="s">
        <v>14</v>
      </c>
      <c r="G169" s="2">
        <v>1</v>
      </c>
      <c r="H169" s="15">
        <v>300</v>
      </c>
      <c r="I169" s="14">
        <v>300</v>
      </c>
    </row>
    <row r="170" spans="1:9" x14ac:dyDescent="0.25">
      <c r="A170">
        <v>169</v>
      </c>
      <c r="B170" s="1" t="d">
        <v>2023-11-17</v>
      </c>
      <c r="C170" t="s">
        <v>182</v>
      </c>
      <c r="D170" t="s">
        <v>10</v>
      </c>
      <c r="E170" s="2">
        <v>18</v>
      </c>
      <c r="F170" t="s">
        <v>11</v>
      </c>
      <c r="G170" s="2">
        <v>3</v>
      </c>
      <c r="H170" s="15">
        <v>500</v>
      </c>
      <c r="I170" s="14">
        <v>1500</v>
      </c>
    </row>
    <row r="171" spans="1:9" x14ac:dyDescent="0.25">
      <c r="A171">
        <v>170</v>
      </c>
      <c r="B171" s="1" t="d">
        <v>2023-06-02</v>
      </c>
      <c r="C171" t="s">
        <v>183</v>
      </c>
      <c r="D171" t="s">
        <v>13</v>
      </c>
      <c r="E171" s="2">
        <v>25</v>
      </c>
      <c r="F171" t="s">
        <v>14</v>
      </c>
      <c r="G171" s="2">
        <v>2</v>
      </c>
      <c r="H171" s="15">
        <v>25</v>
      </c>
      <c r="I171" s="14">
        <v>50</v>
      </c>
    </row>
    <row r="172" spans="1:9" x14ac:dyDescent="0.25">
      <c r="A172">
        <v>171</v>
      </c>
      <c r="B172" s="1" t="d">
        <v>2023-11-24</v>
      </c>
      <c r="C172" t="s">
        <v>184</v>
      </c>
      <c r="D172" t="s">
        <v>13</v>
      </c>
      <c r="E172" s="2">
        <v>52</v>
      </c>
      <c r="F172" t="s">
        <v>14</v>
      </c>
      <c r="G172" s="2">
        <v>3</v>
      </c>
      <c r="H172" s="15">
        <v>300</v>
      </c>
      <c r="I172" s="14">
        <v>900</v>
      </c>
    </row>
    <row r="173" spans="1:9" x14ac:dyDescent="0.25">
      <c r="A173">
        <v>172</v>
      </c>
      <c r="B173" s="1" t="d">
        <v>2023-09-17</v>
      </c>
      <c r="C173" t="s">
        <v>185</v>
      </c>
      <c r="D173" t="s">
        <v>10</v>
      </c>
      <c r="E173" s="2">
        <v>32</v>
      </c>
      <c r="F173" t="s">
        <v>11</v>
      </c>
      <c r="G173" s="2">
        <v>2</v>
      </c>
      <c r="H173" s="15">
        <v>25</v>
      </c>
      <c r="I173" s="14">
        <v>50</v>
      </c>
    </row>
    <row r="174" spans="1:9" x14ac:dyDescent="0.25">
      <c r="A174">
        <v>173</v>
      </c>
      <c r="B174" s="1" t="d">
        <v>2023-11-08</v>
      </c>
      <c r="C174" t="s">
        <v>186</v>
      </c>
      <c r="D174" t="s">
        <v>10</v>
      </c>
      <c r="E174" s="2">
        <v>64</v>
      </c>
      <c r="F174" t="s">
        <v>16</v>
      </c>
      <c r="G174" s="2">
        <v>4</v>
      </c>
      <c r="H174" s="15">
        <v>30</v>
      </c>
      <c r="I174" s="14">
        <v>120</v>
      </c>
    </row>
    <row r="175" spans="1:9" x14ac:dyDescent="0.25">
      <c r="A175">
        <v>174</v>
      </c>
      <c r="B175" s="1" t="d">
        <v>2023-04-12</v>
      </c>
      <c r="C175" t="s">
        <v>187</v>
      </c>
      <c r="D175" t="s">
        <v>13</v>
      </c>
      <c r="E175" s="2">
        <v>39</v>
      </c>
      <c r="F175" t="s">
        <v>11</v>
      </c>
      <c r="G175" s="2">
        <v>1</v>
      </c>
      <c r="H175" s="15">
        <v>300</v>
      </c>
      <c r="I175" s="14">
        <v>300</v>
      </c>
    </row>
    <row r="176" spans="1:9" x14ac:dyDescent="0.25">
      <c r="A176">
        <v>175</v>
      </c>
      <c r="B176" s="1" t="d">
        <v>2023-03-20</v>
      </c>
      <c r="C176" t="s">
        <v>188</v>
      </c>
      <c r="D176" t="s">
        <v>13</v>
      </c>
      <c r="E176" s="2">
        <v>31</v>
      </c>
      <c r="F176" t="s">
        <v>16</v>
      </c>
      <c r="G176" s="2">
        <v>4</v>
      </c>
      <c r="H176" s="15">
        <v>25</v>
      </c>
      <c r="I176" s="14">
        <v>100</v>
      </c>
    </row>
    <row r="177" spans="1:9" x14ac:dyDescent="0.25">
      <c r="A177">
        <v>176</v>
      </c>
      <c r="B177" s="1" t="d">
        <v>2023-07-11</v>
      </c>
      <c r="C177" t="s">
        <v>189</v>
      </c>
      <c r="D177" t="s">
        <v>13</v>
      </c>
      <c r="E177" s="2">
        <v>43</v>
      </c>
      <c r="F177" t="s">
        <v>11</v>
      </c>
      <c r="G177" s="2">
        <v>2</v>
      </c>
      <c r="H177" s="15">
        <v>50</v>
      </c>
      <c r="I177" s="14">
        <v>100</v>
      </c>
    </row>
    <row r="178" spans="1:9" x14ac:dyDescent="0.25">
      <c r="A178">
        <v>177</v>
      </c>
      <c r="B178" s="1" t="d">
        <v>2023-03-24</v>
      </c>
      <c r="C178" t="s">
        <v>190</v>
      </c>
      <c r="D178" t="s">
        <v>10</v>
      </c>
      <c r="E178" s="2">
        <v>45</v>
      </c>
      <c r="F178" t="s">
        <v>11</v>
      </c>
      <c r="G178" s="2">
        <v>2</v>
      </c>
      <c r="H178" s="15">
        <v>50</v>
      </c>
      <c r="I178" s="14">
        <v>100</v>
      </c>
    </row>
    <row r="179" spans="1:9" x14ac:dyDescent="0.25">
      <c r="A179">
        <v>178</v>
      </c>
      <c r="B179" s="1" t="d">
        <v>2023-10-04</v>
      </c>
      <c r="C179" t="s">
        <v>191</v>
      </c>
      <c r="D179" t="s">
        <v>10</v>
      </c>
      <c r="E179" s="2">
        <v>40</v>
      </c>
      <c r="F179" t="s">
        <v>14</v>
      </c>
      <c r="G179" s="2">
        <v>2</v>
      </c>
      <c r="H179" s="15">
        <v>30</v>
      </c>
      <c r="I179" s="14">
        <v>60</v>
      </c>
    </row>
    <row r="180" spans="1:9" x14ac:dyDescent="0.25">
      <c r="A180">
        <v>179</v>
      </c>
      <c r="B180" s="1" t="d">
        <v>2023-09-29</v>
      </c>
      <c r="C180" t="s">
        <v>192</v>
      </c>
      <c r="D180" t="s">
        <v>10</v>
      </c>
      <c r="E180" s="2">
        <v>31</v>
      </c>
      <c r="F180" t="s">
        <v>16</v>
      </c>
      <c r="G180" s="2">
        <v>1</v>
      </c>
      <c r="H180" s="15">
        <v>300</v>
      </c>
      <c r="I180" s="14">
        <v>300</v>
      </c>
    </row>
    <row r="181" spans="1:9" x14ac:dyDescent="0.25">
      <c r="A181">
        <v>180</v>
      </c>
      <c r="B181" s="1" t="d">
        <v>2023-01-01</v>
      </c>
      <c r="C181" t="s">
        <v>193</v>
      </c>
      <c r="D181" t="s">
        <v>10</v>
      </c>
      <c r="E181" s="2">
        <v>41</v>
      </c>
      <c r="F181" t="s">
        <v>14</v>
      </c>
      <c r="G181" s="2">
        <v>3</v>
      </c>
      <c r="H181" s="15">
        <v>300</v>
      </c>
      <c r="I181" s="14">
        <v>900</v>
      </c>
    </row>
    <row r="182" spans="1:9" x14ac:dyDescent="0.25">
      <c r="A182">
        <v>181</v>
      </c>
      <c r="B182" s="1" t="d">
        <v>2023-11-03</v>
      </c>
      <c r="C182" t="s">
        <v>194</v>
      </c>
      <c r="D182" t="s">
        <v>10</v>
      </c>
      <c r="E182" s="2">
        <v>19</v>
      </c>
      <c r="F182" t="s">
        <v>16</v>
      </c>
      <c r="G182" s="2">
        <v>4</v>
      </c>
      <c r="H182" s="15">
        <v>300</v>
      </c>
      <c r="I182" s="14">
        <v>1200</v>
      </c>
    </row>
    <row r="183" spans="1:9" x14ac:dyDescent="0.25">
      <c r="A183">
        <v>182</v>
      </c>
      <c r="B183" s="1" t="d">
        <v>2023-06-15</v>
      </c>
      <c r="C183" t="s">
        <v>195</v>
      </c>
      <c r="D183" t="s">
        <v>10</v>
      </c>
      <c r="E183" s="2">
        <v>62</v>
      </c>
      <c r="F183" t="s">
        <v>11</v>
      </c>
      <c r="G183" s="2">
        <v>4</v>
      </c>
      <c r="H183" s="15">
        <v>30</v>
      </c>
      <c r="I183" s="14">
        <v>120</v>
      </c>
    </row>
    <row r="184" spans="1:9" x14ac:dyDescent="0.25">
      <c r="A184">
        <v>183</v>
      </c>
      <c r="B184" s="1" t="d">
        <v>2023-09-08</v>
      </c>
      <c r="C184" t="s">
        <v>196</v>
      </c>
      <c r="D184" t="s">
        <v>13</v>
      </c>
      <c r="E184" s="2">
        <v>43</v>
      </c>
      <c r="F184" t="s">
        <v>11</v>
      </c>
      <c r="G184" s="2">
        <v>3</v>
      </c>
      <c r="H184" s="15">
        <v>300</v>
      </c>
      <c r="I184" s="14">
        <v>900</v>
      </c>
    </row>
    <row r="185" spans="1:9" x14ac:dyDescent="0.25">
      <c r="A185">
        <v>184</v>
      </c>
      <c r="B185" s="1" t="d">
        <v>2023-01-10</v>
      </c>
      <c r="C185" t="s">
        <v>197</v>
      </c>
      <c r="D185" t="s">
        <v>10</v>
      </c>
      <c r="E185" s="2">
        <v>31</v>
      </c>
      <c r="F185" t="s">
        <v>16</v>
      </c>
      <c r="G185" s="2">
        <v>4</v>
      </c>
      <c r="H185" s="15">
        <v>50</v>
      </c>
      <c r="I185" s="14">
        <v>200</v>
      </c>
    </row>
    <row r="186" spans="1:9" x14ac:dyDescent="0.25">
      <c r="A186">
        <v>185</v>
      </c>
      <c r="B186" s="1" t="d">
        <v>2023-02-27</v>
      </c>
      <c r="C186" t="s">
        <v>198</v>
      </c>
      <c r="D186" t="s">
        <v>10</v>
      </c>
      <c r="E186" s="2">
        <v>24</v>
      </c>
      <c r="F186" t="s">
        <v>14</v>
      </c>
      <c r="G186" s="2">
        <v>1</v>
      </c>
      <c r="H186" s="15">
        <v>25</v>
      </c>
      <c r="I186" s="14">
        <v>25</v>
      </c>
    </row>
    <row r="187" spans="1:9" x14ac:dyDescent="0.25">
      <c r="A187">
        <v>186</v>
      </c>
      <c r="B187" s="1" t="d">
        <v>2023-07-05</v>
      </c>
      <c r="C187" t="s">
        <v>199</v>
      </c>
      <c r="D187" t="s">
        <v>10</v>
      </c>
      <c r="E187" s="2">
        <v>20</v>
      </c>
      <c r="F187" t="s">
        <v>14</v>
      </c>
      <c r="G187" s="2">
        <v>4</v>
      </c>
      <c r="H187" s="15">
        <v>50</v>
      </c>
      <c r="I187" s="14">
        <v>200</v>
      </c>
    </row>
    <row r="188" spans="1:9" x14ac:dyDescent="0.25">
      <c r="A188">
        <v>187</v>
      </c>
      <c r="B188" s="1" t="d">
        <v>2023-06-07</v>
      </c>
      <c r="C188" t="s">
        <v>200</v>
      </c>
      <c r="D188" t="s">
        <v>13</v>
      </c>
      <c r="E188" s="2">
        <v>64</v>
      </c>
      <c r="F188" t="s">
        <v>14</v>
      </c>
      <c r="G188" s="2">
        <v>2</v>
      </c>
      <c r="H188" s="15">
        <v>50</v>
      </c>
      <c r="I188" s="14">
        <v>100</v>
      </c>
    </row>
    <row r="189" spans="1:9" x14ac:dyDescent="0.25">
      <c r="A189">
        <v>188</v>
      </c>
      <c r="B189" s="1" t="d">
        <v>2023-05-03</v>
      </c>
      <c r="C189" t="s">
        <v>201</v>
      </c>
      <c r="D189" t="s">
        <v>10</v>
      </c>
      <c r="E189" s="2">
        <v>40</v>
      </c>
      <c r="F189" t="s">
        <v>14</v>
      </c>
      <c r="G189" s="2">
        <v>3</v>
      </c>
      <c r="H189" s="15">
        <v>25</v>
      </c>
      <c r="I189" s="14">
        <v>75</v>
      </c>
    </row>
    <row r="190" spans="1:9" x14ac:dyDescent="0.25">
      <c r="A190">
        <v>189</v>
      </c>
      <c r="B190" s="1" t="d">
        <v>2023-01-30</v>
      </c>
      <c r="C190" t="s">
        <v>202</v>
      </c>
      <c r="D190" t="s">
        <v>10</v>
      </c>
      <c r="E190" s="2">
        <v>63</v>
      </c>
      <c r="F190" t="s">
        <v>11</v>
      </c>
      <c r="G190" s="2">
        <v>1</v>
      </c>
      <c r="H190" s="15">
        <v>50</v>
      </c>
      <c r="I190" s="14">
        <v>50</v>
      </c>
    </row>
    <row r="191" spans="1:9" x14ac:dyDescent="0.25">
      <c r="A191">
        <v>190</v>
      </c>
      <c r="B191" s="1" t="d">
        <v>2023-05-04</v>
      </c>
      <c r="C191" t="s">
        <v>203</v>
      </c>
      <c r="D191" t="s">
        <v>13</v>
      </c>
      <c r="E191" s="2">
        <v>60</v>
      </c>
      <c r="F191" t="s">
        <v>11</v>
      </c>
      <c r="G191" s="2">
        <v>3</v>
      </c>
      <c r="H191" s="15">
        <v>30</v>
      </c>
      <c r="I191" s="14">
        <v>90</v>
      </c>
    </row>
    <row r="192" spans="1:9" x14ac:dyDescent="0.25">
      <c r="A192">
        <v>191</v>
      </c>
      <c r="B192" s="1" t="d">
        <v>2023-10-18</v>
      </c>
      <c r="C192" t="s">
        <v>204</v>
      </c>
      <c r="D192" t="s">
        <v>10</v>
      </c>
      <c r="E192" s="2">
        <v>64</v>
      </c>
      <c r="F192" t="s">
        <v>11</v>
      </c>
      <c r="G192" s="2">
        <v>1</v>
      </c>
      <c r="H192" s="15">
        <v>25</v>
      </c>
      <c r="I192" s="14">
        <v>25</v>
      </c>
    </row>
    <row r="193" spans="1:9" x14ac:dyDescent="0.25">
      <c r="A193">
        <v>192</v>
      </c>
      <c r="B193" s="1" t="d">
        <v>2023-02-10</v>
      </c>
      <c r="C193" t="s">
        <v>205</v>
      </c>
      <c r="D193" t="s">
        <v>10</v>
      </c>
      <c r="E193" s="2">
        <v>62</v>
      </c>
      <c r="F193" t="s">
        <v>11</v>
      </c>
      <c r="G193" s="2">
        <v>2</v>
      </c>
      <c r="H193" s="15">
        <v>50</v>
      </c>
      <c r="I193" s="14">
        <v>100</v>
      </c>
    </row>
    <row r="194" spans="1:9" x14ac:dyDescent="0.25">
      <c r="A194">
        <v>193</v>
      </c>
      <c r="B194" s="1" t="d">
        <v>2023-02-13</v>
      </c>
      <c r="C194" t="s">
        <v>206</v>
      </c>
      <c r="D194" t="s">
        <v>10</v>
      </c>
      <c r="E194" s="2">
        <v>35</v>
      </c>
      <c r="F194" t="s">
        <v>11</v>
      </c>
      <c r="G194" s="2">
        <v>3</v>
      </c>
      <c r="H194" s="15">
        <v>500</v>
      </c>
      <c r="I194" s="14">
        <v>1500</v>
      </c>
    </row>
    <row r="195" spans="1:9" x14ac:dyDescent="0.25">
      <c r="A195">
        <v>194</v>
      </c>
      <c r="B195" s="1" t="d">
        <v>2023-09-06</v>
      </c>
      <c r="C195" t="s">
        <v>207</v>
      </c>
      <c r="D195" t="s">
        <v>10</v>
      </c>
      <c r="E195" s="2">
        <v>55</v>
      </c>
      <c r="F195" t="s">
        <v>14</v>
      </c>
      <c r="G195" s="2">
        <v>4</v>
      </c>
      <c r="H195" s="15">
        <v>50</v>
      </c>
      <c r="I195" s="14">
        <v>200</v>
      </c>
    </row>
    <row r="196" spans="1:9" x14ac:dyDescent="0.25">
      <c r="A196">
        <v>195</v>
      </c>
      <c r="B196" s="1" t="d">
        <v>2023-02-05</v>
      </c>
      <c r="C196" t="s">
        <v>208</v>
      </c>
      <c r="D196" t="s">
        <v>10</v>
      </c>
      <c r="E196" s="2">
        <v>52</v>
      </c>
      <c r="F196" t="s">
        <v>14</v>
      </c>
      <c r="G196" s="2">
        <v>1</v>
      </c>
      <c r="H196" s="15">
        <v>30</v>
      </c>
      <c r="I196" s="14">
        <v>30</v>
      </c>
    </row>
    <row r="197" spans="1:9" x14ac:dyDescent="0.25">
      <c r="A197">
        <v>196</v>
      </c>
      <c r="B197" s="1" t="d">
        <v>2023-09-30</v>
      </c>
      <c r="C197" t="s">
        <v>209</v>
      </c>
      <c r="D197" t="s">
        <v>13</v>
      </c>
      <c r="E197" s="2">
        <v>32</v>
      </c>
      <c r="F197" t="s">
        <v>14</v>
      </c>
      <c r="G197" s="2">
        <v>3</v>
      </c>
      <c r="H197" s="15">
        <v>300</v>
      </c>
      <c r="I197" s="14">
        <v>900</v>
      </c>
    </row>
    <row r="198" spans="1:9" x14ac:dyDescent="0.25">
      <c r="A198">
        <v>197</v>
      </c>
      <c r="B198" s="1" t="d">
        <v>2023-03-06</v>
      </c>
      <c r="C198" t="s">
        <v>210</v>
      </c>
      <c r="D198" t="s">
        <v>13</v>
      </c>
      <c r="E198" s="2">
        <v>42</v>
      </c>
      <c r="F198" t="s">
        <v>14</v>
      </c>
      <c r="G198" s="2">
        <v>4</v>
      </c>
      <c r="H198" s="15">
        <v>50</v>
      </c>
      <c r="I198" s="14">
        <v>200</v>
      </c>
    </row>
    <row r="199" spans="1:9" x14ac:dyDescent="0.25">
      <c r="A199">
        <v>198</v>
      </c>
      <c r="B199" s="1" t="d">
        <v>2023-03-07</v>
      </c>
      <c r="C199" t="s">
        <v>211</v>
      </c>
      <c r="D199" t="s">
        <v>13</v>
      </c>
      <c r="E199" s="2">
        <v>54</v>
      </c>
      <c r="F199" t="s">
        <v>11</v>
      </c>
      <c r="G199" s="2">
        <v>3</v>
      </c>
      <c r="H199" s="15">
        <v>300</v>
      </c>
      <c r="I199" s="14">
        <v>900</v>
      </c>
    </row>
    <row r="200" spans="1:9" x14ac:dyDescent="0.25">
      <c r="A200">
        <v>199</v>
      </c>
      <c r="B200" s="1" t="d">
        <v>2023-12-04</v>
      </c>
      <c r="C200" t="s">
        <v>212</v>
      </c>
      <c r="D200" t="s">
        <v>10</v>
      </c>
      <c r="E200" s="2">
        <v>45</v>
      </c>
      <c r="F200" t="s">
        <v>11</v>
      </c>
      <c r="G200" s="2">
        <v>3</v>
      </c>
      <c r="H200" s="15">
        <v>500</v>
      </c>
      <c r="I200" s="14">
        <v>1500</v>
      </c>
    </row>
    <row r="201" spans="1:9" x14ac:dyDescent="0.25">
      <c r="A201">
        <v>200</v>
      </c>
      <c r="B201" s="1" t="d">
        <v>2023-09-01</v>
      </c>
      <c r="C201" t="s">
        <v>213</v>
      </c>
      <c r="D201" t="s">
        <v>10</v>
      </c>
      <c r="E201" s="2">
        <v>27</v>
      </c>
      <c r="F201" t="s">
        <v>11</v>
      </c>
      <c r="G201" s="2">
        <v>3</v>
      </c>
      <c r="H201" s="15">
        <v>50</v>
      </c>
      <c r="I201" s="14">
        <v>150</v>
      </c>
    </row>
    <row r="202" spans="1:9" x14ac:dyDescent="0.25">
      <c r="A202">
        <v>201</v>
      </c>
      <c r="B202" s="1" t="d">
        <v>2023-10-09</v>
      </c>
      <c r="C202" t="s">
        <v>214</v>
      </c>
      <c r="D202" t="s">
        <v>10</v>
      </c>
      <c r="E202" s="2">
        <v>56</v>
      </c>
      <c r="F202" t="s">
        <v>16</v>
      </c>
      <c r="G202" s="2">
        <v>1</v>
      </c>
      <c r="H202" s="15">
        <v>25</v>
      </c>
      <c r="I202" s="14">
        <v>25</v>
      </c>
    </row>
    <row r="203" spans="1:9" x14ac:dyDescent="0.25">
      <c r="A203">
        <v>202</v>
      </c>
      <c r="B203" s="1" t="d">
        <v>2023-03-26</v>
      </c>
      <c r="C203" t="s">
        <v>215</v>
      </c>
      <c r="D203" t="s">
        <v>13</v>
      </c>
      <c r="E203" s="2">
        <v>34</v>
      </c>
      <c r="F203" t="s">
        <v>14</v>
      </c>
      <c r="G203" s="2">
        <v>4</v>
      </c>
      <c r="H203" s="15">
        <v>300</v>
      </c>
      <c r="I203" s="14">
        <v>1200</v>
      </c>
    </row>
    <row r="204" spans="1:9" x14ac:dyDescent="0.25">
      <c r="A204">
        <v>203</v>
      </c>
      <c r="B204" s="1" t="d">
        <v>2023-05-16</v>
      </c>
      <c r="C204" t="s">
        <v>216</v>
      </c>
      <c r="D204" t="s">
        <v>10</v>
      </c>
      <c r="E204" s="2">
        <v>56</v>
      </c>
      <c r="F204" t="s">
        <v>14</v>
      </c>
      <c r="G204" s="2">
        <v>2</v>
      </c>
      <c r="H204" s="15">
        <v>500</v>
      </c>
      <c r="I204" s="14">
        <v>1000</v>
      </c>
    </row>
    <row r="205" spans="1:9" x14ac:dyDescent="0.25">
      <c r="A205">
        <v>204</v>
      </c>
      <c r="B205" s="1" t="d">
        <v>2023-09-28</v>
      </c>
      <c r="C205" t="s">
        <v>217</v>
      </c>
      <c r="D205" t="s">
        <v>10</v>
      </c>
      <c r="E205" s="2">
        <v>39</v>
      </c>
      <c r="F205" t="s">
        <v>11</v>
      </c>
      <c r="G205" s="2">
        <v>1</v>
      </c>
      <c r="H205" s="15">
        <v>25</v>
      </c>
      <c r="I205" s="14">
        <v>25</v>
      </c>
    </row>
    <row r="206" spans="1:9" x14ac:dyDescent="0.25">
      <c r="A206">
        <v>205</v>
      </c>
      <c r="B206" s="1" t="d">
        <v>2023-11-07</v>
      </c>
      <c r="C206" t="s">
        <v>218</v>
      </c>
      <c r="D206" t="s">
        <v>13</v>
      </c>
      <c r="E206" s="2">
        <v>43</v>
      </c>
      <c r="F206" t="s">
        <v>14</v>
      </c>
      <c r="G206" s="2">
        <v>1</v>
      </c>
      <c r="H206" s="15">
        <v>25</v>
      </c>
      <c r="I206" s="14">
        <v>25</v>
      </c>
    </row>
    <row r="207" spans="1:9" x14ac:dyDescent="0.25">
      <c r="A207">
        <v>206</v>
      </c>
      <c r="B207" s="1" t="d">
        <v>2023-08-05</v>
      </c>
      <c r="C207" t="s">
        <v>219</v>
      </c>
      <c r="D207" t="s">
        <v>10</v>
      </c>
      <c r="E207" s="2">
        <v>61</v>
      </c>
      <c r="F207" t="s">
        <v>14</v>
      </c>
      <c r="G207" s="2">
        <v>1</v>
      </c>
      <c r="H207" s="15">
        <v>25</v>
      </c>
      <c r="I207" s="14">
        <v>25</v>
      </c>
    </row>
    <row r="208" spans="1:9" x14ac:dyDescent="0.25">
      <c r="A208">
        <v>207</v>
      </c>
      <c r="B208" s="1" t="d">
        <v>2023-04-19</v>
      </c>
      <c r="C208" t="s">
        <v>220</v>
      </c>
      <c r="D208" t="s">
        <v>13</v>
      </c>
      <c r="E208" s="2">
        <v>42</v>
      </c>
      <c r="F208" t="s">
        <v>11</v>
      </c>
      <c r="G208" s="2">
        <v>2</v>
      </c>
      <c r="H208" s="15">
        <v>25</v>
      </c>
      <c r="I208" s="14">
        <v>50</v>
      </c>
    </row>
    <row r="209" spans="1:9" x14ac:dyDescent="0.25">
      <c r="A209">
        <v>208</v>
      </c>
      <c r="B209" s="1" t="d">
        <v>2023-10-04</v>
      </c>
      <c r="C209" t="s">
        <v>221</v>
      </c>
      <c r="D209" t="s">
        <v>13</v>
      </c>
      <c r="E209" s="2">
        <v>34</v>
      </c>
      <c r="F209" t="s">
        <v>16</v>
      </c>
      <c r="G209" s="2">
        <v>4</v>
      </c>
      <c r="H209" s="15">
        <v>50</v>
      </c>
      <c r="I209" s="14">
        <v>200</v>
      </c>
    </row>
    <row r="210" spans="1:9" x14ac:dyDescent="0.25">
      <c r="A210">
        <v>209</v>
      </c>
      <c r="B210" s="1" t="d">
        <v>2023-12-20</v>
      </c>
      <c r="C210" t="s">
        <v>222</v>
      </c>
      <c r="D210" t="s">
        <v>13</v>
      </c>
      <c r="E210" s="2">
        <v>30</v>
      </c>
      <c r="F210" t="s">
        <v>16</v>
      </c>
      <c r="G210" s="2">
        <v>4</v>
      </c>
      <c r="H210" s="15">
        <v>50</v>
      </c>
      <c r="I210" s="14">
        <v>200</v>
      </c>
    </row>
    <row r="211" spans="1:9" x14ac:dyDescent="0.25">
      <c r="A211">
        <v>210</v>
      </c>
      <c r="B211" s="1" t="d">
        <v>2023-04-13</v>
      </c>
      <c r="C211" t="s">
        <v>223</v>
      </c>
      <c r="D211" t="s">
        <v>10</v>
      </c>
      <c r="E211" s="2">
        <v>37</v>
      </c>
      <c r="F211" t="s">
        <v>16</v>
      </c>
      <c r="G211" s="2">
        <v>4</v>
      </c>
      <c r="H211" s="15">
        <v>50</v>
      </c>
      <c r="I211" s="14">
        <v>200</v>
      </c>
    </row>
    <row r="212" spans="1:9" x14ac:dyDescent="0.25">
      <c r="A212">
        <v>211</v>
      </c>
      <c r="B212" s="1" t="d">
        <v>2024-01-01</v>
      </c>
      <c r="C212" t="s">
        <v>224</v>
      </c>
      <c r="D212" t="s">
        <v>10</v>
      </c>
      <c r="E212" s="2">
        <v>42</v>
      </c>
      <c r="F212" t="s">
        <v>11</v>
      </c>
      <c r="G212" s="2">
        <v>3</v>
      </c>
      <c r="H212" s="15">
        <v>500</v>
      </c>
      <c r="I212" s="14">
        <v>1500</v>
      </c>
    </row>
    <row r="213" spans="1:9" x14ac:dyDescent="0.25">
      <c r="A213">
        <v>212</v>
      </c>
      <c r="B213" s="1" t="d">
        <v>2023-06-09</v>
      </c>
      <c r="C213" t="s">
        <v>225</v>
      </c>
      <c r="D213" t="s">
        <v>10</v>
      </c>
      <c r="E213" s="2">
        <v>21</v>
      </c>
      <c r="F213" t="s">
        <v>14</v>
      </c>
      <c r="G213" s="2">
        <v>3</v>
      </c>
      <c r="H213" s="15">
        <v>500</v>
      </c>
      <c r="I213" s="14">
        <v>1500</v>
      </c>
    </row>
    <row r="214" spans="1:9" x14ac:dyDescent="0.25">
      <c r="A214">
        <v>213</v>
      </c>
      <c r="B214" s="1" t="d">
        <v>2023-07-24</v>
      </c>
      <c r="C214" t="s">
        <v>226</v>
      </c>
      <c r="D214" t="s">
        <v>10</v>
      </c>
      <c r="E214" s="2">
        <v>27</v>
      </c>
      <c r="F214" t="s">
        <v>11</v>
      </c>
      <c r="G214" s="2">
        <v>3</v>
      </c>
      <c r="H214" s="15">
        <v>500</v>
      </c>
      <c r="I214" s="14">
        <v>1500</v>
      </c>
    </row>
    <row r="215" spans="1:9" x14ac:dyDescent="0.25">
      <c r="A215">
        <v>214</v>
      </c>
      <c r="B215" s="1" t="d">
        <v>2023-12-10</v>
      </c>
      <c r="C215" t="s">
        <v>227</v>
      </c>
      <c r="D215" t="s">
        <v>10</v>
      </c>
      <c r="E215" s="2">
        <v>20</v>
      </c>
      <c r="F215" t="s">
        <v>11</v>
      </c>
      <c r="G215" s="2">
        <v>2</v>
      </c>
      <c r="H215" s="15">
        <v>30</v>
      </c>
      <c r="I215" s="14">
        <v>60</v>
      </c>
    </row>
    <row r="216" spans="1:9" x14ac:dyDescent="0.25">
      <c r="A216">
        <v>215</v>
      </c>
      <c r="B216" s="1" t="d">
        <v>2023-11-29</v>
      </c>
      <c r="C216" t="s">
        <v>228</v>
      </c>
      <c r="D216" t="s">
        <v>10</v>
      </c>
      <c r="E216" s="2">
        <v>58</v>
      </c>
      <c r="F216" t="s">
        <v>14</v>
      </c>
      <c r="G216" s="2">
        <v>3</v>
      </c>
      <c r="H216" s="15">
        <v>500</v>
      </c>
      <c r="I216" s="14">
        <v>1500</v>
      </c>
    </row>
    <row r="217" spans="1:9" x14ac:dyDescent="0.25">
      <c r="A217">
        <v>216</v>
      </c>
      <c r="B217" s="1" t="d">
        <v>2023-07-11</v>
      </c>
      <c r="C217" t="s">
        <v>229</v>
      </c>
      <c r="D217" t="s">
        <v>10</v>
      </c>
      <c r="E217" s="2">
        <v>62</v>
      </c>
      <c r="F217" t="s">
        <v>16</v>
      </c>
      <c r="G217" s="2">
        <v>2</v>
      </c>
      <c r="H217" s="15">
        <v>50</v>
      </c>
      <c r="I217" s="14">
        <v>100</v>
      </c>
    </row>
    <row r="218" spans="1:9" x14ac:dyDescent="0.25">
      <c r="A218">
        <v>217</v>
      </c>
      <c r="B218" s="1" t="d">
        <v>2023-08-13</v>
      </c>
      <c r="C218" t="s">
        <v>230</v>
      </c>
      <c r="D218" t="s">
        <v>13</v>
      </c>
      <c r="E218" s="2">
        <v>35</v>
      </c>
      <c r="F218" t="s">
        <v>16</v>
      </c>
      <c r="G218" s="2">
        <v>4</v>
      </c>
      <c r="H218" s="15">
        <v>50</v>
      </c>
      <c r="I218" s="14">
        <v>200</v>
      </c>
    </row>
    <row r="219" spans="1:9" x14ac:dyDescent="0.25">
      <c r="A219">
        <v>218</v>
      </c>
      <c r="B219" s="1" t="d">
        <v>2023-09-22</v>
      </c>
      <c r="C219" t="s">
        <v>231</v>
      </c>
      <c r="D219" t="s">
        <v>10</v>
      </c>
      <c r="E219" s="2">
        <v>64</v>
      </c>
      <c r="F219" t="s">
        <v>11</v>
      </c>
      <c r="G219" s="2">
        <v>3</v>
      </c>
      <c r="H219" s="15">
        <v>30</v>
      </c>
      <c r="I219" s="14">
        <v>90</v>
      </c>
    </row>
    <row r="220" spans="1:9" x14ac:dyDescent="0.25">
      <c r="A220">
        <v>219</v>
      </c>
      <c r="B220" s="1" t="d">
        <v>2023-08-20</v>
      </c>
      <c r="C220" t="s">
        <v>232</v>
      </c>
      <c r="D220" t="s">
        <v>13</v>
      </c>
      <c r="E220" s="2">
        <v>53</v>
      </c>
      <c r="F220" t="s">
        <v>16</v>
      </c>
      <c r="G220" s="2">
        <v>3</v>
      </c>
      <c r="H220" s="15">
        <v>30</v>
      </c>
      <c r="I220" s="14">
        <v>90</v>
      </c>
    </row>
    <row r="221" spans="1:9" x14ac:dyDescent="0.25">
      <c r="A221">
        <v>220</v>
      </c>
      <c r="B221" s="1" t="d">
        <v>2023-03-03</v>
      </c>
      <c r="C221" t="s">
        <v>233</v>
      </c>
      <c r="D221" t="s">
        <v>10</v>
      </c>
      <c r="E221" s="2">
        <v>64</v>
      </c>
      <c r="F221" t="s">
        <v>11</v>
      </c>
      <c r="G221" s="2">
        <v>1</v>
      </c>
      <c r="H221" s="15">
        <v>500</v>
      </c>
      <c r="I221" s="14">
        <v>500</v>
      </c>
    </row>
    <row r="222" spans="1:9" x14ac:dyDescent="0.25">
      <c r="A222">
        <v>221</v>
      </c>
      <c r="B222" s="1" t="d">
        <v>2023-05-07</v>
      </c>
      <c r="C222" t="s">
        <v>234</v>
      </c>
      <c r="D222" t="s">
        <v>10</v>
      </c>
      <c r="E222" s="2">
        <v>39</v>
      </c>
      <c r="F222" t="s">
        <v>11</v>
      </c>
      <c r="G222" s="2">
        <v>2</v>
      </c>
      <c r="H222" s="15">
        <v>300</v>
      </c>
      <c r="I222" s="14">
        <v>600</v>
      </c>
    </row>
    <row r="223" spans="1:9" x14ac:dyDescent="0.25">
      <c r="A223">
        <v>222</v>
      </c>
      <c r="B223" s="1" t="d">
        <v>2023-04-26</v>
      </c>
      <c r="C223" t="s">
        <v>235</v>
      </c>
      <c r="D223" t="s">
        <v>10</v>
      </c>
      <c r="E223" s="2">
        <v>51</v>
      </c>
      <c r="F223" t="s">
        <v>14</v>
      </c>
      <c r="G223" s="2">
        <v>4</v>
      </c>
      <c r="H223" s="15">
        <v>30</v>
      </c>
      <c r="I223" s="14">
        <v>120</v>
      </c>
    </row>
    <row r="224" spans="1:9" x14ac:dyDescent="0.25">
      <c r="A224">
        <v>223</v>
      </c>
      <c r="B224" s="1" t="d">
        <v>2023-02-02</v>
      </c>
      <c r="C224" t="s">
        <v>236</v>
      </c>
      <c r="D224" t="s">
        <v>13</v>
      </c>
      <c r="E224" s="2">
        <v>64</v>
      </c>
      <c r="F224" t="s">
        <v>14</v>
      </c>
      <c r="G224" s="2">
        <v>1</v>
      </c>
      <c r="H224" s="15">
        <v>25</v>
      </c>
      <c r="I224" s="14">
        <v>25</v>
      </c>
    </row>
    <row r="225" spans="1:9" x14ac:dyDescent="0.25">
      <c r="A225">
        <v>224</v>
      </c>
      <c r="B225" s="1" t="d">
        <v>2023-06-23</v>
      </c>
      <c r="C225" t="s">
        <v>237</v>
      </c>
      <c r="D225" t="s">
        <v>13</v>
      </c>
      <c r="E225" s="2">
        <v>25</v>
      </c>
      <c r="F225" t="s">
        <v>14</v>
      </c>
      <c r="G225" s="2">
        <v>1</v>
      </c>
      <c r="H225" s="15">
        <v>50</v>
      </c>
      <c r="I225" s="14">
        <v>50</v>
      </c>
    </row>
    <row r="226" spans="1:9" x14ac:dyDescent="0.25">
      <c r="A226">
        <v>225</v>
      </c>
      <c r="B226" s="1" t="d">
        <v>2023-01-11</v>
      </c>
      <c r="C226" t="s">
        <v>238</v>
      </c>
      <c r="D226" t="s">
        <v>13</v>
      </c>
      <c r="E226" s="2">
        <v>57</v>
      </c>
      <c r="F226" t="s">
        <v>11</v>
      </c>
      <c r="G226" s="2">
        <v>4</v>
      </c>
      <c r="H226" s="15">
        <v>25</v>
      </c>
      <c r="I226" s="14">
        <v>100</v>
      </c>
    </row>
    <row r="227" spans="1:9" x14ac:dyDescent="0.25">
      <c r="A227">
        <v>226</v>
      </c>
      <c r="B227" s="1" t="d">
        <v>2023-10-29</v>
      </c>
      <c r="C227" t="s">
        <v>239</v>
      </c>
      <c r="D227" t="s">
        <v>13</v>
      </c>
      <c r="E227" s="2">
        <v>61</v>
      </c>
      <c r="F227" t="s">
        <v>14</v>
      </c>
      <c r="G227" s="2">
        <v>1</v>
      </c>
      <c r="H227" s="15">
        <v>50</v>
      </c>
      <c r="I227" s="14">
        <v>50</v>
      </c>
    </row>
    <row r="228" spans="1:9" x14ac:dyDescent="0.25">
      <c r="A228">
        <v>227</v>
      </c>
      <c r="B228" s="1" t="d">
        <v>2023-10-11</v>
      </c>
      <c r="C228" t="s">
        <v>240</v>
      </c>
      <c r="D228" t="s">
        <v>10</v>
      </c>
      <c r="E228" s="2">
        <v>36</v>
      </c>
      <c r="F228" t="s">
        <v>16</v>
      </c>
      <c r="G228" s="2">
        <v>2</v>
      </c>
      <c r="H228" s="15">
        <v>50</v>
      </c>
      <c r="I228" s="14">
        <v>100</v>
      </c>
    </row>
    <row r="229" spans="1:9" x14ac:dyDescent="0.25">
      <c r="A229">
        <v>228</v>
      </c>
      <c r="B229" s="1" t="d">
        <v>2023-04-28</v>
      </c>
      <c r="C229" t="s">
        <v>241</v>
      </c>
      <c r="D229" t="s">
        <v>13</v>
      </c>
      <c r="E229" s="2">
        <v>59</v>
      </c>
      <c r="F229" t="s">
        <v>16</v>
      </c>
      <c r="G229" s="2">
        <v>2</v>
      </c>
      <c r="H229" s="15">
        <v>30</v>
      </c>
      <c r="I229" s="14">
        <v>60</v>
      </c>
    </row>
    <row r="230" spans="1:9" x14ac:dyDescent="0.25">
      <c r="A230">
        <v>229</v>
      </c>
      <c r="B230" s="1" t="d">
        <v>2023-10-29</v>
      </c>
      <c r="C230" t="s">
        <v>242</v>
      </c>
      <c r="D230" t="s">
        <v>10</v>
      </c>
      <c r="E230" s="2">
        <v>58</v>
      </c>
      <c r="F230" t="s">
        <v>11</v>
      </c>
      <c r="G230" s="2">
        <v>3</v>
      </c>
      <c r="H230" s="15">
        <v>30</v>
      </c>
      <c r="I230" s="14">
        <v>90</v>
      </c>
    </row>
    <row r="231" spans="1:9" x14ac:dyDescent="0.25">
      <c r="A231">
        <v>230</v>
      </c>
      <c r="B231" s="1" t="d">
        <v>2023-04-23</v>
      </c>
      <c r="C231" t="s">
        <v>243</v>
      </c>
      <c r="D231" t="s">
        <v>10</v>
      </c>
      <c r="E231" s="2">
        <v>54</v>
      </c>
      <c r="F231" t="s">
        <v>11</v>
      </c>
      <c r="G231" s="2">
        <v>1</v>
      </c>
      <c r="H231" s="15">
        <v>25</v>
      </c>
      <c r="I231" s="14">
        <v>25</v>
      </c>
    </row>
    <row r="232" spans="1:9" x14ac:dyDescent="0.25">
      <c r="A232">
        <v>231</v>
      </c>
      <c r="B232" s="1" t="d">
        <v>2023-01-04</v>
      </c>
      <c r="C232" t="s">
        <v>244</v>
      </c>
      <c r="D232" t="s">
        <v>13</v>
      </c>
      <c r="E232" s="2">
        <v>23</v>
      </c>
      <c r="F232" t="s">
        <v>14</v>
      </c>
      <c r="G232" s="2">
        <v>3</v>
      </c>
      <c r="H232" s="15">
        <v>50</v>
      </c>
      <c r="I232" s="14">
        <v>150</v>
      </c>
    </row>
    <row r="233" spans="1:9" x14ac:dyDescent="0.25">
      <c r="A233">
        <v>232</v>
      </c>
      <c r="B233" s="1" t="d">
        <v>2023-02-06</v>
      </c>
      <c r="C233" t="s">
        <v>245</v>
      </c>
      <c r="D233" t="s">
        <v>13</v>
      </c>
      <c r="E233" s="2">
        <v>43</v>
      </c>
      <c r="F233" t="s">
        <v>11</v>
      </c>
      <c r="G233" s="2">
        <v>1</v>
      </c>
      <c r="H233" s="15">
        <v>25</v>
      </c>
      <c r="I233" s="14">
        <v>25</v>
      </c>
    </row>
    <row r="234" spans="1:9" x14ac:dyDescent="0.25">
      <c r="A234">
        <v>233</v>
      </c>
      <c r="B234" s="1" t="d">
        <v>2023-12-29</v>
      </c>
      <c r="C234" t="s">
        <v>246</v>
      </c>
      <c r="D234" t="s">
        <v>13</v>
      </c>
      <c r="E234" s="2">
        <v>51</v>
      </c>
      <c r="F234" t="s">
        <v>11</v>
      </c>
      <c r="G234" s="2">
        <v>2</v>
      </c>
      <c r="H234" s="15">
        <v>300</v>
      </c>
      <c r="I234" s="14">
        <v>600</v>
      </c>
    </row>
    <row r="235" spans="1:9" x14ac:dyDescent="0.25">
      <c r="A235">
        <v>234</v>
      </c>
      <c r="B235" s="1" t="d">
        <v>2023-11-20</v>
      </c>
      <c r="C235" t="s">
        <v>247</v>
      </c>
      <c r="D235" t="s">
        <v>13</v>
      </c>
      <c r="E235" s="2">
        <v>62</v>
      </c>
      <c r="F235" t="s">
        <v>16</v>
      </c>
      <c r="G235" s="2">
        <v>2</v>
      </c>
      <c r="H235" s="15">
        <v>25</v>
      </c>
      <c r="I235" s="14">
        <v>50</v>
      </c>
    </row>
    <row r="236" spans="1:9" x14ac:dyDescent="0.25">
      <c r="A236">
        <v>235</v>
      </c>
      <c r="B236" s="1" t="d">
        <v>2023-01-31</v>
      </c>
      <c r="C236" t="s">
        <v>248</v>
      </c>
      <c r="D236" t="s">
        <v>13</v>
      </c>
      <c r="E236" s="2">
        <v>23</v>
      </c>
      <c r="F236" t="s">
        <v>16</v>
      </c>
      <c r="G236" s="2">
        <v>2</v>
      </c>
      <c r="H236" s="15">
        <v>500</v>
      </c>
      <c r="I236" s="14">
        <v>1000</v>
      </c>
    </row>
    <row r="237" spans="1:9" x14ac:dyDescent="0.25">
      <c r="A237">
        <v>236</v>
      </c>
      <c r="B237" s="1" t="d">
        <v>2023-04-28</v>
      </c>
      <c r="C237" t="s">
        <v>249</v>
      </c>
      <c r="D237" t="s">
        <v>13</v>
      </c>
      <c r="E237" s="2">
        <v>54</v>
      </c>
      <c r="F237" t="s">
        <v>14</v>
      </c>
      <c r="G237" s="2">
        <v>1</v>
      </c>
      <c r="H237" s="15">
        <v>25</v>
      </c>
      <c r="I237" s="14">
        <v>25</v>
      </c>
    </row>
    <row r="238" spans="1:9" x14ac:dyDescent="0.25">
      <c r="A238">
        <v>237</v>
      </c>
      <c r="B238" s="1" t="d">
        <v>2023-02-04</v>
      </c>
      <c r="C238" t="s">
        <v>250</v>
      </c>
      <c r="D238" t="s">
        <v>13</v>
      </c>
      <c r="E238" s="2">
        <v>50</v>
      </c>
      <c r="F238" t="s">
        <v>11</v>
      </c>
      <c r="G238" s="2">
        <v>2</v>
      </c>
      <c r="H238" s="15">
        <v>500</v>
      </c>
      <c r="I238" s="14">
        <v>1000</v>
      </c>
    </row>
    <row r="239" spans="1:9" x14ac:dyDescent="0.25">
      <c r="A239">
        <v>238</v>
      </c>
      <c r="B239" s="1" t="d">
        <v>2023-01-17</v>
      </c>
      <c r="C239" t="s">
        <v>251</v>
      </c>
      <c r="D239" t="s">
        <v>13</v>
      </c>
      <c r="E239" s="2">
        <v>39</v>
      </c>
      <c r="F239" t="s">
        <v>11</v>
      </c>
      <c r="G239" s="2">
        <v>1</v>
      </c>
      <c r="H239" s="15">
        <v>500</v>
      </c>
      <c r="I239" s="14">
        <v>500</v>
      </c>
    </row>
    <row r="240" spans="1:9" x14ac:dyDescent="0.25">
      <c r="A240">
        <v>239</v>
      </c>
      <c r="B240" s="1" t="d">
        <v>2023-06-19</v>
      </c>
      <c r="C240" t="s">
        <v>252</v>
      </c>
      <c r="D240" t="s">
        <v>10</v>
      </c>
      <c r="E240" s="2">
        <v>38</v>
      </c>
      <c r="F240" t="s">
        <v>16</v>
      </c>
      <c r="G240" s="2">
        <v>3</v>
      </c>
      <c r="H240" s="15">
        <v>500</v>
      </c>
      <c r="I240" s="14">
        <v>1500</v>
      </c>
    </row>
    <row r="241" spans="1:9" x14ac:dyDescent="0.25">
      <c r="A241">
        <v>240</v>
      </c>
      <c r="B241" s="1" t="d">
        <v>2023-02-06</v>
      </c>
      <c r="C241" t="s">
        <v>253</v>
      </c>
      <c r="D241" t="s">
        <v>13</v>
      </c>
      <c r="E241" s="2">
        <v>23</v>
      </c>
      <c r="F241" t="s">
        <v>11</v>
      </c>
      <c r="G241" s="2">
        <v>1</v>
      </c>
      <c r="H241" s="15">
        <v>300</v>
      </c>
      <c r="I241" s="14">
        <v>300</v>
      </c>
    </row>
    <row r="242" spans="1:9" x14ac:dyDescent="0.25">
      <c r="A242">
        <v>241</v>
      </c>
      <c r="B242" s="1" t="d">
        <v>2023-09-21</v>
      </c>
      <c r="C242" t="s">
        <v>254</v>
      </c>
      <c r="D242" t="s">
        <v>13</v>
      </c>
      <c r="E242" s="2">
        <v>23</v>
      </c>
      <c r="F242" t="s">
        <v>16</v>
      </c>
      <c r="G242" s="2">
        <v>3</v>
      </c>
      <c r="H242" s="15">
        <v>25</v>
      </c>
      <c r="I242" s="14">
        <v>75</v>
      </c>
    </row>
    <row r="243" spans="1:9" x14ac:dyDescent="0.25">
      <c r="A243">
        <v>242</v>
      </c>
      <c r="B243" s="1" t="d">
        <v>2023-05-02</v>
      </c>
      <c r="C243" t="s">
        <v>255</v>
      </c>
      <c r="D243" t="s">
        <v>10</v>
      </c>
      <c r="E243" s="2">
        <v>21</v>
      </c>
      <c r="F243" t="s">
        <v>14</v>
      </c>
      <c r="G243" s="2">
        <v>1</v>
      </c>
      <c r="H243" s="15">
        <v>25</v>
      </c>
      <c r="I243" s="14">
        <v>25</v>
      </c>
    </row>
    <row r="244" spans="1:9" x14ac:dyDescent="0.25">
      <c r="A244">
        <v>243</v>
      </c>
      <c r="B244" s="1" t="d">
        <v>2023-05-23</v>
      </c>
      <c r="C244" t="s">
        <v>256</v>
      </c>
      <c r="D244" t="s">
        <v>13</v>
      </c>
      <c r="E244" s="2">
        <v>47</v>
      </c>
      <c r="F244" t="s">
        <v>16</v>
      </c>
      <c r="G244" s="2">
        <v>3</v>
      </c>
      <c r="H244" s="15">
        <v>300</v>
      </c>
      <c r="I244" s="14">
        <v>900</v>
      </c>
    </row>
    <row r="245" spans="1:9" x14ac:dyDescent="0.25">
      <c r="A245">
        <v>244</v>
      </c>
      <c r="B245" s="1" t="d">
        <v>2023-12-09</v>
      </c>
      <c r="C245" t="s">
        <v>257</v>
      </c>
      <c r="D245" t="s">
        <v>10</v>
      </c>
      <c r="E245" s="2">
        <v>28</v>
      </c>
      <c r="F245" t="s">
        <v>11</v>
      </c>
      <c r="G245" s="2">
        <v>2</v>
      </c>
      <c r="H245" s="15">
        <v>50</v>
      </c>
      <c r="I245" s="14">
        <v>100</v>
      </c>
    </row>
    <row r="246" spans="1:9" x14ac:dyDescent="0.25">
      <c r="A246">
        <v>245</v>
      </c>
      <c r="B246" s="1" t="d">
        <v>2023-09-06</v>
      </c>
      <c r="C246" t="s">
        <v>258</v>
      </c>
      <c r="D246" t="s">
        <v>10</v>
      </c>
      <c r="E246" s="2">
        <v>47</v>
      </c>
      <c r="F246" t="s">
        <v>14</v>
      </c>
      <c r="G246" s="2">
        <v>3</v>
      </c>
      <c r="H246" s="15">
        <v>30</v>
      </c>
      <c r="I246" s="14">
        <v>90</v>
      </c>
    </row>
    <row r="247" spans="1:9" x14ac:dyDescent="0.25">
      <c r="A247">
        <v>246</v>
      </c>
      <c r="B247" s="1" t="d">
        <v>2023-04-20</v>
      </c>
      <c r="C247" t="s">
        <v>259</v>
      </c>
      <c r="D247" t="s">
        <v>13</v>
      </c>
      <c r="E247" s="2">
        <v>48</v>
      </c>
      <c r="F247" t="s">
        <v>16</v>
      </c>
      <c r="G247" s="2">
        <v>2</v>
      </c>
      <c r="H247" s="15">
        <v>25</v>
      </c>
      <c r="I247" s="14">
        <v>50</v>
      </c>
    </row>
    <row r="248" spans="1:9" x14ac:dyDescent="0.25">
      <c r="A248">
        <v>247</v>
      </c>
      <c r="B248" s="1" t="d">
        <v>2023-10-04</v>
      </c>
      <c r="C248" t="s">
        <v>260</v>
      </c>
      <c r="D248" t="s">
        <v>10</v>
      </c>
      <c r="E248" s="2">
        <v>41</v>
      </c>
      <c r="F248" t="s">
        <v>16</v>
      </c>
      <c r="G248" s="2">
        <v>2</v>
      </c>
      <c r="H248" s="15">
        <v>30</v>
      </c>
      <c r="I248" s="14">
        <v>60</v>
      </c>
    </row>
    <row r="249" spans="1:9" x14ac:dyDescent="0.25">
      <c r="A249">
        <v>248</v>
      </c>
      <c r="B249" s="1" t="d">
        <v>2023-03-09</v>
      </c>
      <c r="C249" t="s">
        <v>261</v>
      </c>
      <c r="D249" t="s">
        <v>10</v>
      </c>
      <c r="E249" s="2">
        <v>26</v>
      </c>
      <c r="F249" t="s">
        <v>14</v>
      </c>
      <c r="G249" s="2">
        <v>3</v>
      </c>
      <c r="H249" s="15">
        <v>300</v>
      </c>
      <c r="I249" s="14">
        <v>900</v>
      </c>
    </row>
    <row r="250" spans="1:9" x14ac:dyDescent="0.25">
      <c r="A250">
        <v>249</v>
      </c>
      <c r="B250" s="1" t="d">
        <v>2023-10-20</v>
      </c>
      <c r="C250" t="s">
        <v>262</v>
      </c>
      <c r="D250" t="s">
        <v>10</v>
      </c>
      <c r="E250" s="2">
        <v>20</v>
      </c>
      <c r="F250" t="s">
        <v>14</v>
      </c>
      <c r="G250" s="2">
        <v>1</v>
      </c>
      <c r="H250" s="15">
        <v>50</v>
      </c>
      <c r="I250" s="14">
        <v>50</v>
      </c>
    </row>
    <row r="251" spans="1:9" x14ac:dyDescent="0.25">
      <c r="A251">
        <v>250</v>
      </c>
      <c r="B251" s="1" t="d">
        <v>2023-10-23</v>
      </c>
      <c r="C251" t="s">
        <v>263</v>
      </c>
      <c r="D251" t="s">
        <v>10</v>
      </c>
      <c r="E251" s="2">
        <v>48</v>
      </c>
      <c r="F251" t="s">
        <v>16</v>
      </c>
      <c r="G251" s="2">
        <v>1</v>
      </c>
      <c r="H251" s="15">
        <v>50</v>
      </c>
      <c r="I251" s="14">
        <v>50</v>
      </c>
    </row>
    <row r="252" spans="1:9" x14ac:dyDescent="0.25">
      <c r="A252">
        <v>251</v>
      </c>
      <c r="B252" s="1" t="d">
        <v>2023-08-31</v>
      </c>
      <c r="C252" t="s">
        <v>264</v>
      </c>
      <c r="D252" t="s">
        <v>13</v>
      </c>
      <c r="E252" s="2">
        <v>57</v>
      </c>
      <c r="F252" t="s">
        <v>11</v>
      </c>
      <c r="G252" s="2">
        <v>4</v>
      </c>
      <c r="H252" s="15">
        <v>50</v>
      </c>
      <c r="I252" s="14">
        <v>200</v>
      </c>
    </row>
    <row r="253" spans="1:9" x14ac:dyDescent="0.25">
      <c r="A253">
        <v>252</v>
      </c>
      <c r="B253" s="1" t="d">
        <v>2023-05-05</v>
      </c>
      <c r="C253" t="s">
        <v>265</v>
      </c>
      <c r="D253" t="s">
        <v>10</v>
      </c>
      <c r="E253" s="2">
        <v>54</v>
      </c>
      <c r="F253" t="s">
        <v>16</v>
      </c>
      <c r="G253" s="2">
        <v>1</v>
      </c>
      <c r="H253" s="15">
        <v>300</v>
      </c>
      <c r="I253" s="14">
        <v>300</v>
      </c>
    </row>
    <row r="254" spans="1:9" x14ac:dyDescent="0.25">
      <c r="A254">
        <v>253</v>
      </c>
      <c r="B254" s="1" t="d">
        <v>2023-08-31</v>
      </c>
      <c r="C254" t="s">
        <v>266</v>
      </c>
      <c r="D254" t="s">
        <v>13</v>
      </c>
      <c r="E254" s="2">
        <v>53</v>
      </c>
      <c r="F254" t="s">
        <v>14</v>
      </c>
      <c r="G254" s="2">
        <v>4</v>
      </c>
      <c r="H254" s="15">
        <v>500</v>
      </c>
      <c r="I254" s="14">
        <v>2000</v>
      </c>
    </row>
    <row r="255" spans="1:9" x14ac:dyDescent="0.25">
      <c r="A255">
        <v>254</v>
      </c>
      <c r="B255" s="1" t="d">
        <v>2023-07-28</v>
      </c>
      <c r="C255" t="s">
        <v>267</v>
      </c>
      <c r="D255" t="s">
        <v>10</v>
      </c>
      <c r="E255" s="2">
        <v>41</v>
      </c>
      <c r="F255" t="s">
        <v>16</v>
      </c>
      <c r="G255" s="2">
        <v>1</v>
      </c>
      <c r="H255" s="15">
        <v>500</v>
      </c>
      <c r="I255" s="14">
        <v>500</v>
      </c>
    </row>
    <row r="256" spans="1:9" x14ac:dyDescent="0.25">
      <c r="A256">
        <v>255</v>
      </c>
      <c r="B256" s="1" t="d">
        <v>2023-04-08</v>
      </c>
      <c r="C256" t="s">
        <v>268</v>
      </c>
      <c r="D256" t="s">
        <v>10</v>
      </c>
      <c r="E256" s="2">
        <v>48</v>
      </c>
      <c r="F256" t="s">
        <v>14</v>
      </c>
      <c r="G256" s="2">
        <v>1</v>
      </c>
      <c r="H256" s="15">
        <v>30</v>
      </c>
      <c r="I256" s="14">
        <v>30</v>
      </c>
    </row>
    <row r="257" spans="1:9" x14ac:dyDescent="0.25">
      <c r="A257">
        <v>256</v>
      </c>
      <c r="B257" s="1" t="d">
        <v>2023-02-18</v>
      </c>
      <c r="C257" t="s">
        <v>269</v>
      </c>
      <c r="D257" t="s">
        <v>10</v>
      </c>
      <c r="E257" s="2">
        <v>23</v>
      </c>
      <c r="F257" t="s">
        <v>14</v>
      </c>
      <c r="G257" s="2">
        <v>2</v>
      </c>
      <c r="H257" s="15">
        <v>500</v>
      </c>
      <c r="I257" s="14">
        <v>1000</v>
      </c>
    </row>
    <row r="258" spans="1:9" x14ac:dyDescent="0.25">
      <c r="A258">
        <v>257</v>
      </c>
      <c r="B258" s="1" t="d">
        <v>2023-02-19</v>
      </c>
      <c r="C258" t="s">
        <v>270</v>
      </c>
      <c r="D258" t="s">
        <v>10</v>
      </c>
      <c r="E258" s="2">
        <v>19</v>
      </c>
      <c r="F258" t="s">
        <v>11</v>
      </c>
      <c r="G258" s="2">
        <v>4</v>
      </c>
      <c r="H258" s="15">
        <v>500</v>
      </c>
      <c r="I258" s="14">
        <v>2000</v>
      </c>
    </row>
    <row r="259" spans="1:9" x14ac:dyDescent="0.25">
      <c r="A259">
        <v>258</v>
      </c>
      <c r="B259" s="1" t="d">
        <v>2023-12-04</v>
      </c>
      <c r="C259" t="s">
        <v>271</v>
      </c>
      <c r="D259" t="s">
        <v>13</v>
      </c>
      <c r="E259" s="2">
        <v>37</v>
      </c>
      <c r="F259" t="s">
        <v>14</v>
      </c>
      <c r="G259" s="2">
        <v>1</v>
      </c>
      <c r="H259" s="15">
        <v>50</v>
      </c>
      <c r="I259" s="14">
        <v>50</v>
      </c>
    </row>
    <row r="260" spans="1:9" x14ac:dyDescent="0.25">
      <c r="A260">
        <v>259</v>
      </c>
      <c r="B260" s="1" t="d">
        <v>2023-08-09</v>
      </c>
      <c r="C260" t="s">
        <v>272</v>
      </c>
      <c r="D260" t="s">
        <v>13</v>
      </c>
      <c r="E260" s="2">
        <v>45</v>
      </c>
      <c r="F260" t="s">
        <v>14</v>
      </c>
      <c r="G260" s="2">
        <v>4</v>
      </c>
      <c r="H260" s="15">
        <v>50</v>
      </c>
      <c r="I260" s="14">
        <v>200</v>
      </c>
    </row>
    <row r="261" spans="1:9" x14ac:dyDescent="0.25">
      <c r="A261">
        <v>260</v>
      </c>
      <c r="B261" s="1" t="d">
        <v>2023-07-01</v>
      </c>
      <c r="C261" t="s">
        <v>273</v>
      </c>
      <c r="D261" t="s">
        <v>10</v>
      </c>
      <c r="E261" s="2">
        <v>28</v>
      </c>
      <c r="F261" t="s">
        <v>11</v>
      </c>
      <c r="G261" s="2">
        <v>2</v>
      </c>
      <c r="H261" s="15">
        <v>30</v>
      </c>
      <c r="I261" s="14">
        <v>60</v>
      </c>
    </row>
    <row r="262" spans="1:9" x14ac:dyDescent="0.25">
      <c r="A262">
        <v>261</v>
      </c>
      <c r="B262" s="1" t="d">
        <v>2023-08-05</v>
      </c>
      <c r="C262" t="s">
        <v>274</v>
      </c>
      <c r="D262" t="s">
        <v>10</v>
      </c>
      <c r="E262" s="2">
        <v>21</v>
      </c>
      <c r="F262" t="s">
        <v>14</v>
      </c>
      <c r="G262" s="2">
        <v>2</v>
      </c>
      <c r="H262" s="15">
        <v>25</v>
      </c>
      <c r="I262" s="14">
        <v>50</v>
      </c>
    </row>
    <row r="263" spans="1:9" x14ac:dyDescent="0.25">
      <c r="A263">
        <v>262</v>
      </c>
      <c r="B263" s="1" t="d">
        <v>2023-07-30</v>
      </c>
      <c r="C263" t="s">
        <v>275</v>
      </c>
      <c r="D263" t="s">
        <v>13</v>
      </c>
      <c r="E263" s="2">
        <v>32</v>
      </c>
      <c r="F263" t="s">
        <v>11</v>
      </c>
      <c r="G263" s="2">
        <v>4</v>
      </c>
      <c r="H263" s="15">
        <v>30</v>
      </c>
      <c r="I263" s="14">
        <v>120</v>
      </c>
    </row>
    <row r="264" spans="1:9" x14ac:dyDescent="0.25">
      <c r="A264">
        <v>263</v>
      </c>
      <c r="B264" s="1" t="d">
        <v>2023-08-28</v>
      </c>
      <c r="C264" t="s">
        <v>276</v>
      </c>
      <c r="D264" t="s">
        <v>10</v>
      </c>
      <c r="E264" s="2">
        <v>23</v>
      </c>
      <c r="F264" t="s">
        <v>11</v>
      </c>
      <c r="G264" s="2">
        <v>2</v>
      </c>
      <c r="H264" s="15">
        <v>30</v>
      </c>
      <c r="I264" s="14">
        <v>60</v>
      </c>
    </row>
    <row r="265" spans="1:9" x14ac:dyDescent="0.25">
      <c r="A265">
        <v>264</v>
      </c>
      <c r="B265" s="1" t="d">
        <v>2023-01-28</v>
      </c>
      <c r="C265" t="s">
        <v>277</v>
      </c>
      <c r="D265" t="s">
        <v>10</v>
      </c>
      <c r="E265" s="2">
        <v>47</v>
      </c>
      <c r="F265" t="s">
        <v>14</v>
      </c>
      <c r="G265" s="2">
        <v>3</v>
      </c>
      <c r="H265" s="15">
        <v>300</v>
      </c>
      <c r="I265" s="14">
        <v>900</v>
      </c>
    </row>
    <row r="266" spans="1:9" x14ac:dyDescent="0.25">
      <c r="A266">
        <v>265</v>
      </c>
      <c r="B266" s="1" t="d">
        <v>2023-12-11</v>
      </c>
      <c r="C266" t="s">
        <v>278</v>
      </c>
      <c r="D266" t="s">
        <v>10</v>
      </c>
      <c r="E266" s="2">
        <v>55</v>
      </c>
      <c r="F266" t="s">
        <v>14</v>
      </c>
      <c r="G266" s="2">
        <v>3</v>
      </c>
      <c r="H266" s="15">
        <v>300</v>
      </c>
      <c r="I266" s="14">
        <v>900</v>
      </c>
    </row>
    <row r="267" spans="1:9" x14ac:dyDescent="0.25">
      <c r="A267">
        <v>266</v>
      </c>
      <c r="B267" s="1" t="d">
        <v>2023-12-01</v>
      </c>
      <c r="C267" t="s">
        <v>279</v>
      </c>
      <c r="D267" t="s">
        <v>13</v>
      </c>
      <c r="E267" s="2">
        <v>19</v>
      </c>
      <c r="F267" t="s">
        <v>16</v>
      </c>
      <c r="G267" s="2">
        <v>2</v>
      </c>
      <c r="H267" s="15">
        <v>30</v>
      </c>
      <c r="I267" s="14">
        <v>60</v>
      </c>
    </row>
    <row r="268" spans="1:9" x14ac:dyDescent="0.25">
      <c r="A268">
        <v>267</v>
      </c>
      <c r="B268" s="1" t="d">
        <v>2023-11-27</v>
      </c>
      <c r="C268" t="s">
        <v>280</v>
      </c>
      <c r="D268" t="s">
        <v>13</v>
      </c>
      <c r="E268" s="2">
        <v>32</v>
      </c>
      <c r="F268" t="s">
        <v>11</v>
      </c>
      <c r="G268" s="2">
        <v>3</v>
      </c>
      <c r="H268" s="15">
        <v>30</v>
      </c>
      <c r="I268" s="14">
        <v>90</v>
      </c>
    </row>
    <row r="269" spans="1:9" x14ac:dyDescent="0.25">
      <c r="A269">
        <v>268</v>
      </c>
      <c r="B269" s="1" t="d">
        <v>2023-02-20</v>
      </c>
      <c r="C269" t="s">
        <v>281</v>
      </c>
      <c r="D269" t="s">
        <v>13</v>
      </c>
      <c r="E269" s="2">
        <v>28</v>
      </c>
      <c r="F269" t="s">
        <v>16</v>
      </c>
      <c r="G269" s="2">
        <v>1</v>
      </c>
      <c r="H269" s="15">
        <v>30</v>
      </c>
      <c r="I269" s="14">
        <v>30</v>
      </c>
    </row>
    <row r="270" spans="1:9" x14ac:dyDescent="0.25">
      <c r="A270">
        <v>269</v>
      </c>
      <c r="B270" s="1" t="d">
        <v>2023-02-01</v>
      </c>
      <c r="C270" t="s">
        <v>282</v>
      </c>
      <c r="D270" t="s">
        <v>10</v>
      </c>
      <c r="E270" s="2">
        <v>25</v>
      </c>
      <c r="F270" t="s">
        <v>14</v>
      </c>
      <c r="G270" s="2">
        <v>4</v>
      </c>
      <c r="H270" s="15">
        <v>500</v>
      </c>
      <c r="I270" s="14">
        <v>2000</v>
      </c>
    </row>
    <row r="271" spans="1:9" x14ac:dyDescent="0.25">
      <c r="A271">
        <v>270</v>
      </c>
      <c r="B271" s="1" t="d">
        <v>2023-07-26</v>
      </c>
      <c r="C271" t="s">
        <v>283</v>
      </c>
      <c r="D271" t="s">
        <v>10</v>
      </c>
      <c r="E271" s="2">
        <v>43</v>
      </c>
      <c r="F271" t="s">
        <v>16</v>
      </c>
      <c r="G271" s="2">
        <v>1</v>
      </c>
      <c r="H271" s="15">
        <v>300</v>
      </c>
      <c r="I271" s="14">
        <v>300</v>
      </c>
    </row>
    <row r="272" spans="1:9" x14ac:dyDescent="0.25">
      <c r="A272">
        <v>271</v>
      </c>
      <c r="B272" s="1" t="d">
        <v>2023-06-23</v>
      </c>
      <c r="C272" t="s">
        <v>284</v>
      </c>
      <c r="D272" t="s">
        <v>13</v>
      </c>
      <c r="E272" s="2">
        <v>62</v>
      </c>
      <c r="F272" t="s">
        <v>11</v>
      </c>
      <c r="G272" s="2">
        <v>4</v>
      </c>
      <c r="H272" s="15">
        <v>30</v>
      </c>
      <c r="I272" s="14">
        <v>120</v>
      </c>
    </row>
    <row r="273" spans="1:9" x14ac:dyDescent="0.25">
      <c r="A273">
        <v>272</v>
      </c>
      <c r="B273" s="1" t="d">
        <v>2023-02-25</v>
      </c>
      <c r="C273" t="s">
        <v>285</v>
      </c>
      <c r="D273" t="s">
        <v>13</v>
      </c>
      <c r="E273" s="2">
        <v>61</v>
      </c>
      <c r="F273" t="s">
        <v>16</v>
      </c>
      <c r="G273" s="2">
        <v>2</v>
      </c>
      <c r="H273" s="15">
        <v>50</v>
      </c>
      <c r="I273" s="14">
        <v>100</v>
      </c>
    </row>
    <row r="274" spans="1:9" x14ac:dyDescent="0.25">
      <c r="A274">
        <v>273</v>
      </c>
      <c r="B274" s="1" t="d">
        <v>2023-05-08</v>
      </c>
      <c r="C274" t="s">
        <v>286</v>
      </c>
      <c r="D274" t="s">
        <v>13</v>
      </c>
      <c r="E274" s="2">
        <v>22</v>
      </c>
      <c r="F274" t="s">
        <v>11</v>
      </c>
      <c r="G274" s="2">
        <v>1</v>
      </c>
      <c r="H274" s="15">
        <v>50</v>
      </c>
      <c r="I274" s="14">
        <v>50</v>
      </c>
    </row>
    <row r="275" spans="1:9" x14ac:dyDescent="0.25">
      <c r="A275">
        <v>274</v>
      </c>
      <c r="B275" s="1" t="d">
        <v>2023-04-09</v>
      </c>
      <c r="C275" t="s">
        <v>287</v>
      </c>
      <c r="D275" t="s">
        <v>13</v>
      </c>
      <c r="E275" s="2">
        <v>23</v>
      </c>
      <c r="F275" t="s">
        <v>14</v>
      </c>
      <c r="G275" s="2">
        <v>2</v>
      </c>
      <c r="H275" s="15">
        <v>500</v>
      </c>
      <c r="I275" s="14">
        <v>1000</v>
      </c>
    </row>
    <row r="276" spans="1:9" x14ac:dyDescent="0.25">
      <c r="A276">
        <v>275</v>
      </c>
      <c r="B276" s="1" t="d">
        <v>2023-04-08</v>
      </c>
      <c r="C276" t="s">
        <v>288</v>
      </c>
      <c r="D276" t="s">
        <v>10</v>
      </c>
      <c r="E276" s="2">
        <v>43</v>
      </c>
      <c r="F276" t="s">
        <v>14</v>
      </c>
      <c r="G276" s="2">
        <v>2</v>
      </c>
      <c r="H276" s="15">
        <v>500</v>
      </c>
      <c r="I276" s="14">
        <v>1000</v>
      </c>
    </row>
    <row r="277" spans="1:9" x14ac:dyDescent="0.25">
      <c r="A277">
        <v>276</v>
      </c>
      <c r="B277" s="1" t="d">
        <v>2023-10-02</v>
      </c>
      <c r="C277" t="s">
        <v>289</v>
      </c>
      <c r="D277" t="s">
        <v>13</v>
      </c>
      <c r="E277" s="2">
        <v>21</v>
      </c>
      <c r="F277" t="s">
        <v>11</v>
      </c>
      <c r="G277" s="2">
        <v>4</v>
      </c>
      <c r="H277" s="15">
        <v>25</v>
      </c>
      <c r="I277" s="14">
        <v>100</v>
      </c>
    </row>
    <row r="278" spans="1:9" x14ac:dyDescent="0.25">
      <c r="A278">
        <v>277</v>
      </c>
      <c r="B278" s="1" t="d">
        <v>2023-08-18</v>
      </c>
      <c r="C278" t="s">
        <v>290</v>
      </c>
      <c r="D278" t="s">
        <v>10</v>
      </c>
      <c r="E278" s="2">
        <v>36</v>
      </c>
      <c r="F278" t="s">
        <v>14</v>
      </c>
      <c r="G278" s="2">
        <v>4</v>
      </c>
      <c r="H278" s="15">
        <v>25</v>
      </c>
      <c r="I278" s="14">
        <v>100</v>
      </c>
    </row>
    <row r="279" spans="1:9" x14ac:dyDescent="0.25">
      <c r="A279">
        <v>278</v>
      </c>
      <c r="B279" s="1" t="d">
        <v>2023-03-13</v>
      </c>
      <c r="C279" t="s">
        <v>291</v>
      </c>
      <c r="D279" t="s">
        <v>13</v>
      </c>
      <c r="E279" s="2">
        <v>37</v>
      </c>
      <c r="F279" t="s">
        <v>14</v>
      </c>
      <c r="G279" s="2">
        <v>4</v>
      </c>
      <c r="H279" s="15">
        <v>25</v>
      </c>
      <c r="I279" s="14">
        <v>100</v>
      </c>
    </row>
    <row r="280" spans="1:9" x14ac:dyDescent="0.25">
      <c r="A280">
        <v>279</v>
      </c>
      <c r="B280" s="1" t="d">
        <v>2023-08-05</v>
      </c>
      <c r="C280" t="s">
        <v>292</v>
      </c>
      <c r="D280" t="s">
        <v>10</v>
      </c>
      <c r="E280" s="2">
        <v>50</v>
      </c>
      <c r="F280" t="s">
        <v>14</v>
      </c>
      <c r="G280" s="2">
        <v>1</v>
      </c>
      <c r="H280" s="15">
        <v>500</v>
      </c>
      <c r="I280" s="14">
        <v>500</v>
      </c>
    </row>
    <row r="281" spans="1:9" x14ac:dyDescent="0.25">
      <c r="A281">
        <v>280</v>
      </c>
      <c r="B281" s="1" t="d">
        <v>2023-04-04</v>
      </c>
      <c r="C281" t="s">
        <v>293</v>
      </c>
      <c r="D281" t="s">
        <v>13</v>
      </c>
      <c r="E281" s="2">
        <v>37</v>
      </c>
      <c r="F281" t="s">
        <v>14</v>
      </c>
      <c r="G281" s="2">
        <v>3</v>
      </c>
      <c r="H281" s="15">
        <v>500</v>
      </c>
      <c r="I281" s="14">
        <v>1500</v>
      </c>
    </row>
    <row r="282" spans="1:9" x14ac:dyDescent="0.25">
      <c r="A282">
        <v>281</v>
      </c>
      <c r="B282" s="1" t="d">
        <v>2023-05-23</v>
      </c>
      <c r="C282" t="s">
        <v>294</v>
      </c>
      <c r="D282" t="s">
        <v>13</v>
      </c>
      <c r="E282" s="2">
        <v>29</v>
      </c>
      <c r="F282" t="s">
        <v>11</v>
      </c>
      <c r="G282" s="2">
        <v>4</v>
      </c>
      <c r="H282" s="15">
        <v>500</v>
      </c>
      <c r="I282" s="14">
        <v>2000</v>
      </c>
    </row>
    <row r="283" spans="1:9" x14ac:dyDescent="0.25">
      <c r="A283">
        <v>282</v>
      </c>
      <c r="B283" s="1" t="d">
        <v>2023-08-25</v>
      </c>
      <c r="C283" t="s">
        <v>295</v>
      </c>
      <c r="D283" t="s">
        <v>13</v>
      </c>
      <c r="E283" s="2">
        <v>64</v>
      </c>
      <c r="F283" t="s">
        <v>16</v>
      </c>
      <c r="G283" s="2">
        <v>4</v>
      </c>
      <c r="H283" s="15">
        <v>50</v>
      </c>
      <c r="I283" s="14">
        <v>200</v>
      </c>
    </row>
    <row r="284" spans="1:9" x14ac:dyDescent="0.25">
      <c r="A284">
        <v>283</v>
      </c>
      <c r="B284" s="1" t="d">
        <v>2023-05-08</v>
      </c>
      <c r="C284" t="s">
        <v>296</v>
      </c>
      <c r="D284" t="s">
        <v>13</v>
      </c>
      <c r="E284" s="2">
        <v>18</v>
      </c>
      <c r="F284" t="s">
        <v>16</v>
      </c>
      <c r="G284" s="2">
        <v>1</v>
      </c>
      <c r="H284" s="15">
        <v>500</v>
      </c>
      <c r="I284" s="14">
        <v>500</v>
      </c>
    </row>
    <row r="285" spans="1:9" x14ac:dyDescent="0.25">
      <c r="A285">
        <v>284</v>
      </c>
      <c r="B285" s="1" t="d">
        <v>2023-02-08</v>
      </c>
      <c r="C285" t="s">
        <v>297</v>
      </c>
      <c r="D285" t="s">
        <v>10</v>
      </c>
      <c r="E285" s="2">
        <v>43</v>
      </c>
      <c r="F285" t="s">
        <v>14</v>
      </c>
      <c r="G285" s="2">
        <v>4</v>
      </c>
      <c r="H285" s="15">
        <v>50</v>
      </c>
      <c r="I285" s="14">
        <v>200</v>
      </c>
    </row>
    <row r="286" spans="1:9" x14ac:dyDescent="0.25">
      <c r="A286">
        <v>285</v>
      </c>
      <c r="B286" s="1" t="d">
        <v>2023-08-15</v>
      </c>
      <c r="C286" t="s">
        <v>298</v>
      </c>
      <c r="D286" t="s">
        <v>13</v>
      </c>
      <c r="E286" s="2">
        <v>31</v>
      </c>
      <c r="F286" t="s">
        <v>16</v>
      </c>
      <c r="G286" s="2">
        <v>1</v>
      </c>
      <c r="H286" s="15">
        <v>25</v>
      </c>
      <c r="I286" s="14">
        <v>25</v>
      </c>
    </row>
    <row r="287" spans="1:9" x14ac:dyDescent="0.25">
      <c r="A287">
        <v>286</v>
      </c>
      <c r="B287" s="1" t="d">
        <v>2023-10-09</v>
      </c>
      <c r="C287" t="s">
        <v>299</v>
      </c>
      <c r="D287" t="s">
        <v>10</v>
      </c>
      <c r="E287" s="2">
        <v>55</v>
      </c>
      <c r="F287" t="s">
        <v>16</v>
      </c>
      <c r="G287" s="2">
        <v>2</v>
      </c>
      <c r="H287" s="15">
        <v>25</v>
      </c>
      <c r="I287" s="14">
        <v>50</v>
      </c>
    </row>
    <row r="288" spans="1:9" x14ac:dyDescent="0.25">
      <c r="A288">
        <v>287</v>
      </c>
      <c r="B288" s="1" t="d">
        <v>2023-02-20</v>
      </c>
      <c r="C288" t="s">
        <v>300</v>
      </c>
      <c r="D288" t="s">
        <v>10</v>
      </c>
      <c r="E288" s="2">
        <v>54</v>
      </c>
      <c r="F288" t="s">
        <v>14</v>
      </c>
      <c r="G288" s="2">
        <v>4</v>
      </c>
      <c r="H288" s="15">
        <v>25</v>
      </c>
      <c r="I288" s="14">
        <v>100</v>
      </c>
    </row>
    <row r="289" spans="1:9" x14ac:dyDescent="0.25">
      <c r="A289">
        <v>288</v>
      </c>
      <c r="B289" s="1" t="d">
        <v>2023-01-26</v>
      </c>
      <c r="C289" t="s">
        <v>301</v>
      </c>
      <c r="D289" t="s">
        <v>10</v>
      </c>
      <c r="E289" s="2">
        <v>28</v>
      </c>
      <c r="F289" t="s">
        <v>14</v>
      </c>
      <c r="G289" s="2">
        <v>4</v>
      </c>
      <c r="H289" s="15">
        <v>30</v>
      </c>
      <c r="I289" s="14">
        <v>120</v>
      </c>
    </row>
    <row r="290" spans="1:9" x14ac:dyDescent="0.25">
      <c r="A290">
        <v>289</v>
      </c>
      <c r="B290" s="1" t="d">
        <v>2023-11-30</v>
      </c>
      <c r="C290" t="s">
        <v>302</v>
      </c>
      <c r="D290" t="s">
        <v>10</v>
      </c>
      <c r="E290" s="2">
        <v>53</v>
      </c>
      <c r="F290" t="s">
        <v>16</v>
      </c>
      <c r="G290" s="2">
        <v>2</v>
      </c>
      <c r="H290" s="15">
        <v>30</v>
      </c>
      <c r="I290" s="14">
        <v>60</v>
      </c>
    </row>
    <row r="291" spans="1:9" x14ac:dyDescent="0.25">
      <c r="A291">
        <v>290</v>
      </c>
      <c r="B291" s="1" t="d">
        <v>2023-10-04</v>
      </c>
      <c r="C291" t="s">
        <v>303</v>
      </c>
      <c r="D291" t="s">
        <v>13</v>
      </c>
      <c r="E291" s="2">
        <v>30</v>
      </c>
      <c r="F291" t="s">
        <v>11</v>
      </c>
      <c r="G291" s="2">
        <v>2</v>
      </c>
      <c r="H291" s="15">
        <v>300</v>
      </c>
      <c r="I291" s="14">
        <v>600</v>
      </c>
    </row>
    <row r="292" spans="1:9" x14ac:dyDescent="0.25">
      <c r="A292">
        <v>291</v>
      </c>
      <c r="B292" s="1" t="d">
        <v>2023-01-08</v>
      </c>
      <c r="C292" t="s">
        <v>304</v>
      </c>
      <c r="D292" t="s">
        <v>10</v>
      </c>
      <c r="E292" s="2">
        <v>60</v>
      </c>
      <c r="F292" t="s">
        <v>14</v>
      </c>
      <c r="G292" s="2">
        <v>2</v>
      </c>
      <c r="H292" s="15">
        <v>300</v>
      </c>
      <c r="I292" s="14">
        <v>600</v>
      </c>
    </row>
    <row r="293" spans="1:9" x14ac:dyDescent="0.25">
      <c r="A293">
        <v>292</v>
      </c>
      <c r="B293" s="1" t="d">
        <v>2023-02-17</v>
      </c>
      <c r="C293" t="s">
        <v>305</v>
      </c>
      <c r="D293" t="s">
        <v>10</v>
      </c>
      <c r="E293" s="2">
        <v>20</v>
      </c>
      <c r="F293" t="s">
        <v>11</v>
      </c>
      <c r="G293" s="2">
        <v>4</v>
      </c>
      <c r="H293" s="15">
        <v>300</v>
      </c>
      <c r="I293" s="14">
        <v>1200</v>
      </c>
    </row>
    <row r="294" spans="1:9" x14ac:dyDescent="0.25">
      <c r="A294">
        <v>293</v>
      </c>
      <c r="B294" s="1" t="d">
        <v>2023-05-02</v>
      </c>
      <c r="C294" t="s">
        <v>306</v>
      </c>
      <c r="D294" t="s">
        <v>10</v>
      </c>
      <c r="E294" s="2">
        <v>50</v>
      </c>
      <c r="F294" t="s">
        <v>16</v>
      </c>
      <c r="G294" s="2">
        <v>3</v>
      </c>
      <c r="H294" s="15">
        <v>30</v>
      </c>
      <c r="I294" s="14">
        <v>90</v>
      </c>
    </row>
    <row r="295" spans="1:9" x14ac:dyDescent="0.25">
      <c r="A295">
        <v>294</v>
      </c>
      <c r="B295" s="1" t="d">
        <v>2023-03-27</v>
      </c>
      <c r="C295" t="s">
        <v>307</v>
      </c>
      <c r="D295" t="s">
        <v>13</v>
      </c>
      <c r="E295" s="2">
        <v>23</v>
      </c>
      <c r="F295" t="s">
        <v>14</v>
      </c>
      <c r="G295" s="2">
        <v>3</v>
      </c>
      <c r="H295" s="15">
        <v>30</v>
      </c>
      <c r="I295" s="14">
        <v>90</v>
      </c>
    </row>
    <row r="296" spans="1:9" x14ac:dyDescent="0.25">
      <c r="A296">
        <v>295</v>
      </c>
      <c r="B296" s="1" t="d">
        <v>2023-07-28</v>
      </c>
      <c r="C296" t="s">
        <v>308</v>
      </c>
      <c r="D296" t="s">
        <v>13</v>
      </c>
      <c r="E296" s="2">
        <v>27</v>
      </c>
      <c r="F296" t="s">
        <v>11</v>
      </c>
      <c r="G296" s="2">
        <v>3</v>
      </c>
      <c r="H296" s="15">
        <v>300</v>
      </c>
      <c r="I296" s="14">
        <v>900</v>
      </c>
    </row>
    <row r="297" spans="1:9" x14ac:dyDescent="0.25">
      <c r="A297">
        <v>296</v>
      </c>
      <c r="B297" s="1" t="d">
        <v>2023-09-06</v>
      </c>
      <c r="C297" t="s">
        <v>309</v>
      </c>
      <c r="D297" t="s">
        <v>13</v>
      </c>
      <c r="E297" s="2">
        <v>22</v>
      </c>
      <c r="F297" t="s">
        <v>14</v>
      </c>
      <c r="G297" s="2">
        <v>4</v>
      </c>
      <c r="H297" s="15">
        <v>300</v>
      </c>
      <c r="I297" s="14">
        <v>1200</v>
      </c>
    </row>
    <row r="298" spans="1:9" x14ac:dyDescent="0.25">
      <c r="A298">
        <v>297</v>
      </c>
      <c r="B298" s="1" t="d">
        <v>2023-09-04</v>
      </c>
      <c r="C298" t="s">
        <v>310</v>
      </c>
      <c r="D298" t="s">
        <v>13</v>
      </c>
      <c r="E298" s="2">
        <v>40</v>
      </c>
      <c r="F298" t="s">
        <v>16</v>
      </c>
      <c r="G298" s="2">
        <v>2</v>
      </c>
      <c r="H298" s="15">
        <v>500</v>
      </c>
      <c r="I298" s="14">
        <v>1000</v>
      </c>
    </row>
    <row r="299" spans="1:9" x14ac:dyDescent="0.25">
      <c r="A299">
        <v>298</v>
      </c>
      <c r="B299" s="1" t="d">
        <v>2023-04-20</v>
      </c>
      <c r="C299" t="s">
        <v>311</v>
      </c>
      <c r="D299" t="s">
        <v>10</v>
      </c>
      <c r="E299" s="2">
        <v>27</v>
      </c>
      <c r="F299" t="s">
        <v>11</v>
      </c>
      <c r="G299" s="2">
        <v>4</v>
      </c>
      <c r="H299" s="15">
        <v>300</v>
      </c>
      <c r="I299" s="14">
        <v>1200</v>
      </c>
    </row>
    <row r="300" spans="1:9" x14ac:dyDescent="0.25">
      <c r="A300">
        <v>299</v>
      </c>
      <c r="B300" s="1" t="d">
        <v>2023-07-25</v>
      </c>
      <c r="C300" t="s">
        <v>312</v>
      </c>
      <c r="D300" t="s">
        <v>10</v>
      </c>
      <c r="E300" s="2">
        <v>61</v>
      </c>
      <c r="F300" t="s">
        <v>16</v>
      </c>
      <c r="G300" s="2">
        <v>2</v>
      </c>
      <c r="H300" s="15">
        <v>500</v>
      </c>
      <c r="I300" s="14">
        <v>1000</v>
      </c>
    </row>
    <row r="301" spans="1:9" x14ac:dyDescent="0.25">
      <c r="A301">
        <v>300</v>
      </c>
      <c r="B301" s="1" t="d">
        <v>2023-01-31</v>
      </c>
      <c r="C301" t="s">
        <v>313</v>
      </c>
      <c r="D301" t="s">
        <v>13</v>
      </c>
      <c r="E301" s="2">
        <v>19</v>
      </c>
      <c r="F301" t="s">
        <v>16</v>
      </c>
      <c r="G301" s="2">
        <v>4</v>
      </c>
      <c r="H301" s="15">
        <v>50</v>
      </c>
      <c r="I301" s="14">
        <v>200</v>
      </c>
    </row>
    <row r="302" spans="1:9" x14ac:dyDescent="0.25">
      <c r="A302">
        <v>301</v>
      </c>
      <c r="B302" s="1" t="d">
        <v>2023-03-26</v>
      </c>
      <c r="C302" t="s">
        <v>314</v>
      </c>
      <c r="D302" t="s">
        <v>10</v>
      </c>
      <c r="E302" s="2">
        <v>30</v>
      </c>
      <c r="F302" t="s">
        <v>14</v>
      </c>
      <c r="G302" s="2">
        <v>4</v>
      </c>
      <c r="H302" s="15">
        <v>30</v>
      </c>
      <c r="I302" s="14">
        <v>120</v>
      </c>
    </row>
    <row r="303" spans="1:9" x14ac:dyDescent="0.25">
      <c r="A303">
        <v>302</v>
      </c>
      <c r="B303" s="1" t="d">
        <v>2023-07-14</v>
      </c>
      <c r="C303" t="s">
        <v>315</v>
      </c>
      <c r="D303" t="s">
        <v>10</v>
      </c>
      <c r="E303" s="2">
        <v>57</v>
      </c>
      <c r="F303" t="s">
        <v>11</v>
      </c>
      <c r="G303" s="2">
        <v>2</v>
      </c>
      <c r="H303" s="15">
        <v>300</v>
      </c>
      <c r="I303" s="14">
        <v>600</v>
      </c>
    </row>
    <row r="304" spans="1:9" x14ac:dyDescent="0.25">
      <c r="A304">
        <v>303</v>
      </c>
      <c r="B304" s="1" t="d">
        <v>2023-01-02</v>
      </c>
      <c r="C304" t="s">
        <v>316</v>
      </c>
      <c r="D304" t="s">
        <v>10</v>
      </c>
      <c r="E304" s="2">
        <v>19</v>
      </c>
      <c r="F304" t="s">
        <v>16</v>
      </c>
      <c r="G304" s="2">
        <v>3</v>
      </c>
      <c r="H304" s="15">
        <v>30</v>
      </c>
      <c r="I304" s="14">
        <v>90</v>
      </c>
    </row>
    <row r="305" spans="1:9" x14ac:dyDescent="0.25">
      <c r="A305">
        <v>304</v>
      </c>
      <c r="B305" s="1" t="d">
        <v>2023-07-19</v>
      </c>
      <c r="C305" t="s">
        <v>317</v>
      </c>
      <c r="D305" t="s">
        <v>13</v>
      </c>
      <c r="E305" s="2">
        <v>37</v>
      </c>
      <c r="F305" t="s">
        <v>16</v>
      </c>
      <c r="G305" s="2">
        <v>2</v>
      </c>
      <c r="H305" s="15">
        <v>30</v>
      </c>
      <c r="I305" s="14">
        <v>60</v>
      </c>
    </row>
    <row r="306" spans="1:9" x14ac:dyDescent="0.25">
      <c r="A306">
        <v>305</v>
      </c>
      <c r="B306" s="1" t="d">
        <v>2023-05-16</v>
      </c>
      <c r="C306" t="s">
        <v>318</v>
      </c>
      <c r="D306" t="s">
        <v>13</v>
      </c>
      <c r="E306" s="2">
        <v>18</v>
      </c>
      <c r="F306" t="s">
        <v>11</v>
      </c>
      <c r="G306" s="2">
        <v>1</v>
      </c>
      <c r="H306" s="15">
        <v>30</v>
      </c>
      <c r="I306" s="14">
        <v>30</v>
      </c>
    </row>
    <row r="307" spans="1:9" x14ac:dyDescent="0.25">
      <c r="A307">
        <v>306</v>
      </c>
      <c r="B307" s="1" t="d">
        <v>2023-08-21</v>
      </c>
      <c r="C307" t="s">
        <v>319</v>
      </c>
      <c r="D307" t="s">
        <v>10</v>
      </c>
      <c r="E307" s="2">
        <v>54</v>
      </c>
      <c r="F307" t="s">
        <v>16</v>
      </c>
      <c r="G307" s="2">
        <v>1</v>
      </c>
      <c r="H307" s="15">
        <v>50</v>
      </c>
      <c r="I307" s="14">
        <v>50</v>
      </c>
    </row>
    <row r="308" spans="1:9" x14ac:dyDescent="0.25">
      <c r="A308">
        <v>307</v>
      </c>
      <c r="B308" s="1" t="d">
        <v>2023-05-27</v>
      </c>
      <c r="C308" t="s">
        <v>320</v>
      </c>
      <c r="D308" t="s">
        <v>13</v>
      </c>
      <c r="E308" s="2">
        <v>26</v>
      </c>
      <c r="F308" t="s">
        <v>16</v>
      </c>
      <c r="G308" s="2">
        <v>2</v>
      </c>
      <c r="H308" s="15">
        <v>25</v>
      </c>
      <c r="I308" s="14">
        <v>50</v>
      </c>
    </row>
    <row r="309" spans="1:9" x14ac:dyDescent="0.25">
      <c r="A309">
        <v>308</v>
      </c>
      <c r="B309" s="1" t="d">
        <v>2023-08-05</v>
      </c>
      <c r="C309" t="s">
        <v>321</v>
      </c>
      <c r="D309" t="s">
        <v>13</v>
      </c>
      <c r="E309" s="2">
        <v>34</v>
      </c>
      <c r="F309" t="s">
        <v>11</v>
      </c>
      <c r="G309" s="2">
        <v>4</v>
      </c>
      <c r="H309" s="15">
        <v>300</v>
      </c>
      <c r="I309" s="14">
        <v>1200</v>
      </c>
    </row>
    <row r="310" spans="1:9" x14ac:dyDescent="0.25">
      <c r="A310">
        <v>309</v>
      </c>
      <c r="B310" s="1" t="d">
        <v>2023-12-23</v>
      </c>
      <c r="C310" t="s">
        <v>322</v>
      </c>
      <c r="D310" t="s">
        <v>13</v>
      </c>
      <c r="E310" s="2">
        <v>26</v>
      </c>
      <c r="F310" t="s">
        <v>11</v>
      </c>
      <c r="G310" s="2">
        <v>1</v>
      </c>
      <c r="H310" s="15">
        <v>25</v>
      </c>
      <c r="I310" s="14">
        <v>25</v>
      </c>
    </row>
    <row r="311" spans="1:9" x14ac:dyDescent="0.25">
      <c r="A311">
        <v>310</v>
      </c>
      <c r="B311" s="1" t="d">
        <v>2023-10-12</v>
      </c>
      <c r="C311" t="s">
        <v>323</v>
      </c>
      <c r="D311" t="s">
        <v>13</v>
      </c>
      <c r="E311" s="2">
        <v>28</v>
      </c>
      <c r="F311" t="s">
        <v>11</v>
      </c>
      <c r="G311" s="2">
        <v>1</v>
      </c>
      <c r="H311" s="15">
        <v>25</v>
      </c>
      <c r="I311" s="14">
        <v>25</v>
      </c>
    </row>
    <row r="312" spans="1:9" x14ac:dyDescent="0.25">
      <c r="A312">
        <v>311</v>
      </c>
      <c r="B312" s="1" t="d">
        <v>2023-12-05</v>
      </c>
      <c r="C312" t="s">
        <v>324</v>
      </c>
      <c r="D312" t="s">
        <v>13</v>
      </c>
      <c r="E312" s="2">
        <v>32</v>
      </c>
      <c r="F312" t="s">
        <v>11</v>
      </c>
      <c r="G312" s="2">
        <v>4</v>
      </c>
      <c r="H312" s="15">
        <v>25</v>
      </c>
      <c r="I312" s="14">
        <v>100</v>
      </c>
    </row>
    <row r="313" spans="1:9" x14ac:dyDescent="0.25">
      <c r="A313">
        <v>312</v>
      </c>
      <c r="B313" s="1" t="d">
        <v>2023-09-07</v>
      </c>
      <c r="C313" t="s">
        <v>325</v>
      </c>
      <c r="D313" t="s">
        <v>10</v>
      </c>
      <c r="E313" s="2">
        <v>41</v>
      </c>
      <c r="F313" t="s">
        <v>14</v>
      </c>
      <c r="G313" s="2">
        <v>4</v>
      </c>
      <c r="H313" s="15">
        <v>30</v>
      </c>
      <c r="I313" s="14">
        <v>120</v>
      </c>
    </row>
    <row r="314" spans="1:9" x14ac:dyDescent="0.25">
      <c r="A314">
        <v>313</v>
      </c>
      <c r="B314" s="1" t="d">
        <v>2023-03-21</v>
      </c>
      <c r="C314" t="s">
        <v>326</v>
      </c>
      <c r="D314" t="s">
        <v>13</v>
      </c>
      <c r="E314" s="2">
        <v>55</v>
      </c>
      <c r="F314" t="s">
        <v>11</v>
      </c>
      <c r="G314" s="2">
        <v>3</v>
      </c>
      <c r="H314" s="15">
        <v>500</v>
      </c>
      <c r="I314" s="14">
        <v>1500</v>
      </c>
    </row>
    <row r="315" spans="1:9" x14ac:dyDescent="0.25">
      <c r="A315">
        <v>314</v>
      </c>
      <c r="B315" s="1" t="d">
        <v>2023-04-08</v>
      </c>
      <c r="C315" t="s">
        <v>327</v>
      </c>
      <c r="D315" t="s">
        <v>10</v>
      </c>
      <c r="E315" s="2">
        <v>52</v>
      </c>
      <c r="F315" t="s">
        <v>14</v>
      </c>
      <c r="G315" s="2">
        <v>4</v>
      </c>
      <c r="H315" s="15">
        <v>30</v>
      </c>
      <c r="I315" s="14">
        <v>120</v>
      </c>
    </row>
    <row r="316" spans="1:9" x14ac:dyDescent="0.25">
      <c r="A316">
        <v>315</v>
      </c>
      <c r="B316" s="1" t="d">
        <v>2023-06-01</v>
      </c>
      <c r="C316" t="s">
        <v>328</v>
      </c>
      <c r="D316" t="s">
        <v>10</v>
      </c>
      <c r="E316" s="2">
        <v>47</v>
      </c>
      <c r="F316" t="s">
        <v>14</v>
      </c>
      <c r="G316" s="2">
        <v>2</v>
      </c>
      <c r="H316" s="15">
        <v>30</v>
      </c>
      <c r="I316" s="14">
        <v>60</v>
      </c>
    </row>
    <row r="317" spans="1:9" x14ac:dyDescent="0.25">
      <c r="A317">
        <v>316</v>
      </c>
      <c r="B317" s="1" t="d">
        <v>2023-04-22</v>
      </c>
      <c r="C317" t="s">
        <v>329</v>
      </c>
      <c r="D317" t="s">
        <v>13</v>
      </c>
      <c r="E317" s="2">
        <v>48</v>
      </c>
      <c r="F317" t="s">
        <v>14</v>
      </c>
      <c r="G317" s="2">
        <v>2</v>
      </c>
      <c r="H317" s="15">
        <v>25</v>
      </c>
      <c r="I317" s="14">
        <v>50</v>
      </c>
    </row>
    <row r="318" spans="1:9" x14ac:dyDescent="0.25">
      <c r="A318">
        <v>317</v>
      </c>
      <c r="B318" s="1" t="d">
        <v>2023-01-30</v>
      </c>
      <c r="C318" t="s">
        <v>330</v>
      </c>
      <c r="D318" t="s">
        <v>10</v>
      </c>
      <c r="E318" s="2">
        <v>22</v>
      </c>
      <c r="F318" t="s">
        <v>16</v>
      </c>
      <c r="G318" s="2">
        <v>3</v>
      </c>
      <c r="H318" s="15">
        <v>30</v>
      </c>
      <c r="I318" s="14">
        <v>90</v>
      </c>
    </row>
    <row r="319" spans="1:9" x14ac:dyDescent="0.25">
      <c r="A319">
        <v>318</v>
      </c>
      <c r="B319" s="1" t="d">
        <v>2023-10-24</v>
      </c>
      <c r="C319" t="s">
        <v>331</v>
      </c>
      <c r="D319" t="s">
        <v>10</v>
      </c>
      <c r="E319" s="2">
        <v>61</v>
      </c>
      <c r="F319" t="s">
        <v>14</v>
      </c>
      <c r="G319" s="2">
        <v>1</v>
      </c>
      <c r="H319" s="15">
        <v>25</v>
      </c>
      <c r="I319" s="14">
        <v>25</v>
      </c>
    </row>
    <row r="320" spans="1:9" x14ac:dyDescent="0.25">
      <c r="A320">
        <v>319</v>
      </c>
      <c r="B320" s="1" t="d">
        <v>2023-10-05</v>
      </c>
      <c r="C320" t="s">
        <v>332</v>
      </c>
      <c r="D320" t="s">
        <v>10</v>
      </c>
      <c r="E320" s="2">
        <v>31</v>
      </c>
      <c r="F320" t="s">
        <v>14</v>
      </c>
      <c r="G320" s="2">
        <v>1</v>
      </c>
      <c r="H320" s="15">
        <v>500</v>
      </c>
      <c r="I320" s="14">
        <v>500</v>
      </c>
    </row>
    <row r="321" spans="1:9" x14ac:dyDescent="0.25">
      <c r="A321">
        <v>320</v>
      </c>
      <c r="B321" s="1" t="d">
        <v>2023-02-01</v>
      </c>
      <c r="C321" t="s">
        <v>333</v>
      </c>
      <c r="D321" t="s">
        <v>13</v>
      </c>
      <c r="E321" s="2">
        <v>28</v>
      </c>
      <c r="F321" t="s">
        <v>16</v>
      </c>
      <c r="G321" s="2">
        <v>4</v>
      </c>
      <c r="H321" s="15">
        <v>300</v>
      </c>
      <c r="I321" s="14">
        <v>1200</v>
      </c>
    </row>
    <row r="322" spans="1:9" x14ac:dyDescent="0.25">
      <c r="A322">
        <v>321</v>
      </c>
      <c r="B322" s="1" t="d">
        <v>2023-06-10</v>
      </c>
      <c r="C322" t="s">
        <v>334</v>
      </c>
      <c r="D322" t="s">
        <v>13</v>
      </c>
      <c r="E322" s="2">
        <v>26</v>
      </c>
      <c r="F322" t="s">
        <v>16</v>
      </c>
      <c r="G322" s="2">
        <v>2</v>
      </c>
      <c r="H322" s="15">
        <v>25</v>
      </c>
      <c r="I322" s="14">
        <v>50</v>
      </c>
    </row>
    <row r="323" spans="1:9" x14ac:dyDescent="0.25">
      <c r="A323">
        <v>322</v>
      </c>
      <c r="B323" s="1" t="d">
        <v>2023-01-30</v>
      </c>
      <c r="C323" t="s">
        <v>335</v>
      </c>
      <c r="D323" t="s">
        <v>10</v>
      </c>
      <c r="E323" s="2">
        <v>51</v>
      </c>
      <c r="F323" t="s">
        <v>16</v>
      </c>
      <c r="G323" s="2">
        <v>1</v>
      </c>
      <c r="H323" s="15">
        <v>500</v>
      </c>
      <c r="I323" s="14">
        <v>500</v>
      </c>
    </row>
    <row r="324" spans="1:9" x14ac:dyDescent="0.25">
      <c r="A324">
        <v>323</v>
      </c>
      <c r="B324" s="1" t="d">
        <v>2023-01-26</v>
      </c>
      <c r="C324" t="s">
        <v>336</v>
      </c>
      <c r="D324" t="s">
        <v>13</v>
      </c>
      <c r="E324" s="2">
        <v>29</v>
      </c>
      <c r="F324" t="s">
        <v>11</v>
      </c>
      <c r="G324" s="2">
        <v>3</v>
      </c>
      <c r="H324" s="15">
        <v>300</v>
      </c>
      <c r="I324" s="14">
        <v>900</v>
      </c>
    </row>
    <row r="325" spans="1:9" x14ac:dyDescent="0.25">
      <c r="A325">
        <v>324</v>
      </c>
      <c r="B325" s="1" t="d">
        <v>2023-10-27</v>
      </c>
      <c r="C325" t="s">
        <v>337</v>
      </c>
      <c r="D325" t="s">
        <v>13</v>
      </c>
      <c r="E325" s="2">
        <v>52</v>
      </c>
      <c r="F325" t="s">
        <v>16</v>
      </c>
      <c r="G325" s="2">
        <v>3</v>
      </c>
      <c r="H325" s="15">
        <v>50</v>
      </c>
      <c r="I325" s="14">
        <v>150</v>
      </c>
    </row>
    <row r="326" spans="1:9" x14ac:dyDescent="0.25">
      <c r="A326">
        <v>325</v>
      </c>
      <c r="B326" s="1" t="d">
        <v>2023-09-02</v>
      </c>
      <c r="C326" t="s">
        <v>338</v>
      </c>
      <c r="D326" t="s">
        <v>13</v>
      </c>
      <c r="E326" s="2">
        <v>52</v>
      </c>
      <c r="F326" t="s">
        <v>16</v>
      </c>
      <c r="G326" s="2">
        <v>2</v>
      </c>
      <c r="H326" s="15">
        <v>25</v>
      </c>
      <c r="I326" s="14">
        <v>50</v>
      </c>
    </row>
    <row r="327" spans="1:9" x14ac:dyDescent="0.25">
      <c r="A327">
        <v>326</v>
      </c>
      <c r="B327" s="1" t="d">
        <v>2023-09-15</v>
      </c>
      <c r="C327" t="s">
        <v>339</v>
      </c>
      <c r="D327" t="s">
        <v>13</v>
      </c>
      <c r="E327" s="2">
        <v>18</v>
      </c>
      <c r="F327" t="s">
        <v>14</v>
      </c>
      <c r="G327" s="2">
        <v>3</v>
      </c>
      <c r="H327" s="15">
        <v>25</v>
      </c>
      <c r="I327" s="14">
        <v>75</v>
      </c>
    </row>
    <row r="328" spans="1:9" x14ac:dyDescent="0.25">
      <c r="A328">
        <v>327</v>
      </c>
      <c r="B328" s="1" t="d">
        <v>2023-09-29</v>
      </c>
      <c r="C328" t="s">
        <v>340</v>
      </c>
      <c r="D328" t="s">
        <v>10</v>
      </c>
      <c r="E328" s="2">
        <v>57</v>
      </c>
      <c r="F328" t="s">
        <v>16</v>
      </c>
      <c r="G328" s="2">
        <v>3</v>
      </c>
      <c r="H328" s="15">
        <v>50</v>
      </c>
      <c r="I328" s="14">
        <v>150</v>
      </c>
    </row>
    <row r="329" spans="1:9" x14ac:dyDescent="0.25">
      <c r="A329">
        <v>328</v>
      </c>
      <c r="B329" s="1" t="d">
        <v>2023-03-22</v>
      </c>
      <c r="C329" t="s">
        <v>341</v>
      </c>
      <c r="D329" t="s">
        <v>10</v>
      </c>
      <c r="E329" s="2">
        <v>39</v>
      </c>
      <c r="F329" t="s">
        <v>11</v>
      </c>
      <c r="G329" s="2">
        <v>2</v>
      </c>
      <c r="H329" s="15">
        <v>50</v>
      </c>
      <c r="I329" s="14">
        <v>100</v>
      </c>
    </row>
    <row r="330" spans="1:9" x14ac:dyDescent="0.25">
      <c r="A330">
        <v>329</v>
      </c>
      <c r="B330" s="1" t="d">
        <v>2023-01-30</v>
      </c>
      <c r="C330" t="s">
        <v>342</v>
      </c>
      <c r="D330" t="s">
        <v>13</v>
      </c>
      <c r="E330" s="2">
        <v>46</v>
      </c>
      <c r="F330" t="s">
        <v>16</v>
      </c>
      <c r="G330" s="2">
        <v>4</v>
      </c>
      <c r="H330" s="15">
        <v>25</v>
      </c>
      <c r="I330" s="14">
        <v>100</v>
      </c>
    </row>
    <row r="331" spans="1:9" x14ac:dyDescent="0.25">
      <c r="A331">
        <v>330</v>
      </c>
      <c r="B331" s="1" t="d">
        <v>2023-09-18</v>
      </c>
      <c r="C331" t="s">
        <v>343</v>
      </c>
      <c r="D331" t="s">
        <v>13</v>
      </c>
      <c r="E331" s="2">
        <v>25</v>
      </c>
      <c r="F331" t="s">
        <v>11</v>
      </c>
      <c r="G331" s="2">
        <v>4</v>
      </c>
      <c r="H331" s="15">
        <v>50</v>
      </c>
      <c r="I331" s="14">
        <v>200</v>
      </c>
    </row>
    <row r="332" spans="1:9" x14ac:dyDescent="0.25">
      <c r="A332">
        <v>331</v>
      </c>
      <c r="B332" s="1" t="d">
        <v>2023-02-11</v>
      </c>
      <c r="C332" t="s">
        <v>344</v>
      </c>
      <c r="D332" t="s">
        <v>10</v>
      </c>
      <c r="E332" s="2">
        <v>28</v>
      </c>
      <c r="F332" t="s">
        <v>16</v>
      </c>
      <c r="G332" s="2">
        <v>3</v>
      </c>
      <c r="H332" s="15">
        <v>30</v>
      </c>
      <c r="I332" s="14">
        <v>90</v>
      </c>
    </row>
    <row r="333" spans="1:9" x14ac:dyDescent="0.25">
      <c r="A333">
        <v>332</v>
      </c>
      <c r="B333" s="1" t="d">
        <v>2023-04-06</v>
      </c>
      <c r="C333" t="s">
        <v>345</v>
      </c>
      <c r="D333" t="s">
        <v>10</v>
      </c>
      <c r="E333" s="2">
        <v>58</v>
      </c>
      <c r="F333" t="s">
        <v>16</v>
      </c>
      <c r="G333" s="2">
        <v>4</v>
      </c>
      <c r="H333" s="15">
        <v>300</v>
      </c>
      <c r="I333" s="14">
        <v>1200</v>
      </c>
    </row>
    <row r="334" spans="1:9" x14ac:dyDescent="0.25">
      <c r="A334">
        <v>333</v>
      </c>
      <c r="B334" s="1" t="d">
        <v>2023-02-05</v>
      </c>
      <c r="C334" t="s">
        <v>346</v>
      </c>
      <c r="D334" t="s">
        <v>13</v>
      </c>
      <c r="E334" s="2">
        <v>54</v>
      </c>
      <c r="F334" t="s">
        <v>16</v>
      </c>
      <c r="G334" s="2">
        <v>4</v>
      </c>
      <c r="H334" s="15">
        <v>300</v>
      </c>
      <c r="I334" s="14">
        <v>1200</v>
      </c>
    </row>
    <row r="335" spans="1:9" x14ac:dyDescent="0.25">
      <c r="A335">
        <v>334</v>
      </c>
      <c r="B335" s="1" t="d">
        <v>2023-11-01</v>
      </c>
      <c r="C335" t="s">
        <v>347</v>
      </c>
      <c r="D335" t="s">
        <v>10</v>
      </c>
      <c r="E335" s="2">
        <v>31</v>
      </c>
      <c r="F335" t="s">
        <v>16</v>
      </c>
      <c r="G335" s="2">
        <v>3</v>
      </c>
      <c r="H335" s="15">
        <v>300</v>
      </c>
      <c r="I335" s="14">
        <v>900</v>
      </c>
    </row>
    <row r="336" spans="1:9" x14ac:dyDescent="0.25">
      <c r="A336">
        <v>335</v>
      </c>
      <c r="B336" s="1" t="d">
        <v>2023-02-04</v>
      </c>
      <c r="C336" t="s">
        <v>348</v>
      </c>
      <c r="D336" t="s">
        <v>13</v>
      </c>
      <c r="E336" s="2">
        <v>47</v>
      </c>
      <c r="F336" t="s">
        <v>11</v>
      </c>
      <c r="G336" s="2">
        <v>4</v>
      </c>
      <c r="H336" s="15">
        <v>30</v>
      </c>
      <c r="I336" s="14">
        <v>120</v>
      </c>
    </row>
    <row r="337" spans="1:9" x14ac:dyDescent="0.25">
      <c r="A337">
        <v>336</v>
      </c>
      <c r="B337" s="1" t="d">
        <v>2023-12-12</v>
      </c>
      <c r="C337" t="s">
        <v>349</v>
      </c>
      <c r="D337" t="s">
        <v>13</v>
      </c>
      <c r="E337" s="2">
        <v>52</v>
      </c>
      <c r="F337" t="s">
        <v>11</v>
      </c>
      <c r="G337" s="2">
        <v>3</v>
      </c>
      <c r="H337" s="15">
        <v>50</v>
      </c>
      <c r="I337" s="14">
        <v>150</v>
      </c>
    </row>
    <row r="338" spans="1:9" x14ac:dyDescent="0.25">
      <c r="A338">
        <v>337</v>
      </c>
      <c r="B338" s="1" t="d">
        <v>2023-05-01</v>
      </c>
      <c r="C338" t="s">
        <v>350</v>
      </c>
      <c r="D338" t="s">
        <v>10</v>
      </c>
      <c r="E338" s="2">
        <v>38</v>
      </c>
      <c r="F338" t="s">
        <v>14</v>
      </c>
      <c r="G338" s="2">
        <v>1</v>
      </c>
      <c r="H338" s="15">
        <v>500</v>
      </c>
      <c r="I338" s="14">
        <v>500</v>
      </c>
    </row>
    <row r="339" spans="1:9" x14ac:dyDescent="0.25">
      <c r="A339">
        <v>338</v>
      </c>
      <c r="B339" s="1" t="d">
        <v>2023-07-26</v>
      </c>
      <c r="C339" t="s">
        <v>351</v>
      </c>
      <c r="D339" t="s">
        <v>10</v>
      </c>
      <c r="E339" s="2">
        <v>54</v>
      </c>
      <c r="F339" t="s">
        <v>11</v>
      </c>
      <c r="G339" s="2">
        <v>2</v>
      </c>
      <c r="H339" s="15">
        <v>50</v>
      </c>
      <c r="I339" s="14">
        <v>100</v>
      </c>
    </row>
    <row r="340" spans="1:9" x14ac:dyDescent="0.25">
      <c r="A340">
        <v>339</v>
      </c>
      <c r="B340" s="1" t="d">
        <v>2023-03-03</v>
      </c>
      <c r="C340" t="s">
        <v>352</v>
      </c>
      <c r="D340" t="s">
        <v>13</v>
      </c>
      <c r="E340" s="2">
        <v>22</v>
      </c>
      <c r="F340" t="s">
        <v>16</v>
      </c>
      <c r="G340" s="2">
        <v>2</v>
      </c>
      <c r="H340" s="15">
        <v>25</v>
      </c>
      <c r="I340" s="14">
        <v>50</v>
      </c>
    </row>
    <row r="341" spans="1:9" x14ac:dyDescent="0.25">
      <c r="A341">
        <v>340</v>
      </c>
      <c r="B341" s="1" t="d">
        <v>2023-10-19</v>
      </c>
      <c r="C341" t="s">
        <v>353</v>
      </c>
      <c r="D341" t="s">
        <v>13</v>
      </c>
      <c r="E341" s="2">
        <v>36</v>
      </c>
      <c r="F341" t="s">
        <v>14</v>
      </c>
      <c r="G341" s="2">
        <v>4</v>
      </c>
      <c r="H341" s="15">
        <v>300</v>
      </c>
      <c r="I341" s="14">
        <v>1200</v>
      </c>
    </row>
    <row r="342" spans="1:9" x14ac:dyDescent="0.25">
      <c r="A342">
        <v>341</v>
      </c>
      <c r="B342" s="1" t="d">
        <v>2023-05-07</v>
      </c>
      <c r="C342" t="s">
        <v>354</v>
      </c>
      <c r="D342" t="s">
        <v>10</v>
      </c>
      <c r="E342" s="2">
        <v>31</v>
      </c>
      <c r="F342" t="s">
        <v>14</v>
      </c>
      <c r="G342" s="2">
        <v>4</v>
      </c>
      <c r="H342" s="15">
        <v>50</v>
      </c>
      <c r="I342" s="14">
        <v>200</v>
      </c>
    </row>
    <row r="343" spans="1:9" x14ac:dyDescent="0.25">
      <c r="A343">
        <v>342</v>
      </c>
      <c r="B343" s="1" t="d">
        <v>2023-10-24</v>
      </c>
      <c r="C343" t="s">
        <v>355</v>
      </c>
      <c r="D343" t="s">
        <v>13</v>
      </c>
      <c r="E343" s="2">
        <v>43</v>
      </c>
      <c r="F343" t="s">
        <v>14</v>
      </c>
      <c r="G343" s="2">
        <v>4</v>
      </c>
      <c r="H343" s="15">
        <v>500</v>
      </c>
      <c r="I343" s="14">
        <v>2000</v>
      </c>
    </row>
    <row r="344" spans="1:9" x14ac:dyDescent="0.25">
      <c r="A344">
        <v>343</v>
      </c>
      <c r="B344" s="1" t="d">
        <v>2023-11-01</v>
      </c>
      <c r="C344" t="s">
        <v>356</v>
      </c>
      <c r="D344" t="s">
        <v>10</v>
      </c>
      <c r="E344" s="2">
        <v>21</v>
      </c>
      <c r="F344" t="s">
        <v>16</v>
      </c>
      <c r="G344" s="2">
        <v>2</v>
      </c>
      <c r="H344" s="15">
        <v>25</v>
      </c>
      <c r="I344" s="14">
        <v>50</v>
      </c>
    </row>
    <row r="345" spans="1:9" x14ac:dyDescent="0.25">
      <c r="A345">
        <v>344</v>
      </c>
      <c r="B345" s="1" t="d">
        <v>2023-01-21</v>
      </c>
      <c r="C345" t="s">
        <v>357</v>
      </c>
      <c r="D345" t="s">
        <v>13</v>
      </c>
      <c r="E345" s="2">
        <v>42</v>
      </c>
      <c r="F345" t="s">
        <v>11</v>
      </c>
      <c r="G345" s="2">
        <v>1</v>
      </c>
      <c r="H345" s="15">
        <v>30</v>
      </c>
      <c r="I345" s="14">
        <v>30</v>
      </c>
    </row>
    <row r="346" spans="1:9" x14ac:dyDescent="0.25">
      <c r="A346">
        <v>345</v>
      </c>
      <c r="B346" s="1" t="d">
        <v>2023-11-14</v>
      </c>
      <c r="C346" t="s">
        <v>358</v>
      </c>
      <c r="D346" t="s">
        <v>10</v>
      </c>
      <c r="E346" s="2">
        <v>62</v>
      </c>
      <c r="F346" t="s">
        <v>16</v>
      </c>
      <c r="G346" s="2">
        <v>1</v>
      </c>
      <c r="H346" s="15">
        <v>30</v>
      </c>
      <c r="I346" s="14">
        <v>30</v>
      </c>
    </row>
    <row r="347" spans="1:9" x14ac:dyDescent="0.25">
      <c r="A347">
        <v>346</v>
      </c>
      <c r="B347" s="1" t="d">
        <v>2023-02-11</v>
      </c>
      <c r="C347" t="s">
        <v>359</v>
      </c>
      <c r="D347" t="s">
        <v>10</v>
      </c>
      <c r="E347" s="2">
        <v>59</v>
      </c>
      <c r="F347" t="s">
        <v>14</v>
      </c>
      <c r="G347" s="2">
        <v>2</v>
      </c>
      <c r="H347" s="15">
        <v>500</v>
      </c>
      <c r="I347" s="14">
        <v>1000</v>
      </c>
    </row>
    <row r="348" spans="1:9" x14ac:dyDescent="0.25">
      <c r="A348">
        <v>347</v>
      </c>
      <c r="B348" s="1" t="d">
        <v>2023-08-03</v>
      </c>
      <c r="C348" t="s">
        <v>360</v>
      </c>
      <c r="D348" t="s">
        <v>10</v>
      </c>
      <c r="E348" s="2">
        <v>42</v>
      </c>
      <c r="F348" t="s">
        <v>16</v>
      </c>
      <c r="G348" s="2">
        <v>1</v>
      </c>
      <c r="H348" s="15">
        <v>25</v>
      </c>
      <c r="I348" s="14">
        <v>25</v>
      </c>
    </row>
    <row r="349" spans="1:9" x14ac:dyDescent="0.25">
      <c r="A349">
        <v>348</v>
      </c>
      <c r="B349" s="1" t="d">
        <v>2023-12-03</v>
      </c>
      <c r="C349" t="s">
        <v>361</v>
      </c>
      <c r="D349" t="s">
        <v>13</v>
      </c>
      <c r="E349" s="2">
        <v>35</v>
      </c>
      <c r="F349" t="s">
        <v>16</v>
      </c>
      <c r="G349" s="2">
        <v>2</v>
      </c>
      <c r="H349" s="15">
        <v>300</v>
      </c>
      <c r="I349" s="14">
        <v>600</v>
      </c>
    </row>
    <row r="350" spans="1:9" x14ac:dyDescent="0.25">
      <c r="A350">
        <v>349</v>
      </c>
      <c r="B350" s="1" t="d">
        <v>2023-10-26</v>
      </c>
      <c r="C350" t="s">
        <v>362</v>
      </c>
      <c r="D350" t="s">
        <v>13</v>
      </c>
      <c r="E350" s="2">
        <v>57</v>
      </c>
      <c r="F350" t="s">
        <v>11</v>
      </c>
      <c r="G350" s="2">
        <v>1</v>
      </c>
      <c r="H350" s="15">
        <v>50</v>
      </c>
      <c r="I350" s="14">
        <v>50</v>
      </c>
    </row>
    <row r="351" spans="1:9" x14ac:dyDescent="0.25">
      <c r="A351">
        <v>350</v>
      </c>
      <c r="B351" s="1" t="d">
        <v>2023-10-17</v>
      </c>
      <c r="C351" t="s">
        <v>363</v>
      </c>
      <c r="D351" t="s">
        <v>10</v>
      </c>
      <c r="E351" s="2">
        <v>25</v>
      </c>
      <c r="F351" t="s">
        <v>11</v>
      </c>
      <c r="G351" s="2">
        <v>3</v>
      </c>
      <c r="H351" s="15">
        <v>25</v>
      </c>
      <c r="I351" s="14">
        <v>75</v>
      </c>
    </row>
    <row r="352" spans="1:9" x14ac:dyDescent="0.25">
      <c r="A352">
        <v>351</v>
      </c>
      <c r="B352" s="1" t="d">
        <v>2023-09-25</v>
      </c>
      <c r="C352" t="s">
        <v>364</v>
      </c>
      <c r="D352" t="s">
        <v>13</v>
      </c>
      <c r="E352" s="2">
        <v>56</v>
      </c>
      <c r="F352" t="s">
        <v>14</v>
      </c>
      <c r="G352" s="2">
        <v>3</v>
      </c>
      <c r="H352" s="15">
        <v>30</v>
      </c>
      <c r="I352" s="14">
        <v>90</v>
      </c>
    </row>
    <row r="353" spans="1:9" x14ac:dyDescent="0.25">
      <c r="A353">
        <v>352</v>
      </c>
      <c r="B353" s="1" t="d">
        <v>2023-06-11</v>
      </c>
      <c r="C353" t="s">
        <v>365</v>
      </c>
      <c r="D353" t="s">
        <v>10</v>
      </c>
      <c r="E353" s="2">
        <v>57</v>
      </c>
      <c r="F353" t="s">
        <v>16</v>
      </c>
      <c r="G353" s="2">
        <v>2</v>
      </c>
      <c r="H353" s="15">
        <v>500</v>
      </c>
      <c r="I353" s="14">
        <v>1000</v>
      </c>
    </row>
    <row r="354" spans="1:9" x14ac:dyDescent="0.25">
      <c r="A354">
        <v>353</v>
      </c>
      <c r="B354" s="1" t="d">
        <v>2023-05-14</v>
      </c>
      <c r="C354" t="s">
        <v>366</v>
      </c>
      <c r="D354" t="s">
        <v>10</v>
      </c>
      <c r="E354" s="2">
        <v>31</v>
      </c>
      <c r="F354" t="s">
        <v>16</v>
      </c>
      <c r="G354" s="2">
        <v>1</v>
      </c>
      <c r="H354" s="15">
        <v>500</v>
      </c>
      <c r="I354" s="14">
        <v>500</v>
      </c>
    </row>
    <row r="355" spans="1:9" x14ac:dyDescent="0.25">
      <c r="A355">
        <v>354</v>
      </c>
      <c r="B355" s="1" t="d">
        <v>2023-04-15</v>
      </c>
      <c r="C355" t="s">
        <v>367</v>
      </c>
      <c r="D355" t="s">
        <v>13</v>
      </c>
      <c r="E355" s="2">
        <v>49</v>
      </c>
      <c r="F355" t="s">
        <v>11</v>
      </c>
      <c r="G355" s="2">
        <v>4</v>
      </c>
      <c r="H355" s="15">
        <v>50</v>
      </c>
      <c r="I355" s="14">
        <v>200</v>
      </c>
    </row>
    <row r="356" spans="1:9" x14ac:dyDescent="0.25">
      <c r="A356">
        <v>355</v>
      </c>
      <c r="B356" s="1" t="d">
        <v>2023-12-09</v>
      </c>
      <c r="C356" t="s">
        <v>368</v>
      </c>
      <c r="D356" t="s">
        <v>13</v>
      </c>
      <c r="E356" s="2">
        <v>55</v>
      </c>
      <c r="F356" t="s">
        <v>16</v>
      </c>
      <c r="G356" s="2">
        <v>1</v>
      </c>
      <c r="H356" s="15">
        <v>500</v>
      </c>
      <c r="I356" s="14">
        <v>500</v>
      </c>
    </row>
    <row r="357" spans="1:9" x14ac:dyDescent="0.25">
      <c r="A357">
        <v>356</v>
      </c>
      <c r="B357" s="1" t="d">
        <v>2023-06-10</v>
      </c>
      <c r="C357" t="s">
        <v>369</v>
      </c>
      <c r="D357" t="s">
        <v>10</v>
      </c>
      <c r="E357" s="2">
        <v>50</v>
      </c>
      <c r="F357" t="s">
        <v>16</v>
      </c>
      <c r="G357" s="2">
        <v>3</v>
      </c>
      <c r="H357" s="15">
        <v>500</v>
      </c>
      <c r="I357" s="14">
        <v>1500</v>
      </c>
    </row>
    <row r="358" spans="1:9" x14ac:dyDescent="0.25">
      <c r="A358">
        <v>357</v>
      </c>
      <c r="B358" s="1" t="d">
        <v>2023-05-03</v>
      </c>
      <c r="C358" t="s">
        <v>370</v>
      </c>
      <c r="D358" t="s">
        <v>13</v>
      </c>
      <c r="E358" s="2">
        <v>40</v>
      </c>
      <c r="F358" t="s">
        <v>16</v>
      </c>
      <c r="G358" s="2">
        <v>3</v>
      </c>
      <c r="H358" s="15">
        <v>25</v>
      </c>
      <c r="I358" s="14">
        <v>75</v>
      </c>
    </row>
    <row r="359" spans="1:9" x14ac:dyDescent="0.25">
      <c r="A359">
        <v>358</v>
      </c>
      <c r="B359" s="1" t="d">
        <v>2023-05-16</v>
      </c>
      <c r="C359" t="s">
        <v>371</v>
      </c>
      <c r="D359" t="s">
        <v>13</v>
      </c>
      <c r="E359" s="2">
        <v>32</v>
      </c>
      <c r="F359" t="s">
        <v>11</v>
      </c>
      <c r="G359" s="2">
        <v>1</v>
      </c>
      <c r="H359" s="15">
        <v>300</v>
      </c>
      <c r="I359" s="14">
        <v>300</v>
      </c>
    </row>
    <row r="360" spans="1:9" x14ac:dyDescent="0.25">
      <c r="A360">
        <v>359</v>
      </c>
      <c r="B360" s="1" t="d">
        <v>2023-07-22</v>
      </c>
      <c r="C360" t="s">
        <v>372</v>
      </c>
      <c r="D360" t="s">
        <v>10</v>
      </c>
      <c r="E360" s="2">
        <v>50</v>
      </c>
      <c r="F360" t="s">
        <v>14</v>
      </c>
      <c r="G360" s="2">
        <v>1</v>
      </c>
      <c r="H360" s="15">
        <v>50</v>
      </c>
      <c r="I360" s="14">
        <v>50</v>
      </c>
    </row>
    <row r="361" spans="1:9" x14ac:dyDescent="0.25">
      <c r="A361">
        <v>360</v>
      </c>
      <c r="B361" s="1" t="d">
        <v>2023-03-09</v>
      </c>
      <c r="C361" t="s">
        <v>373</v>
      </c>
      <c r="D361" t="s">
        <v>10</v>
      </c>
      <c r="E361" s="2">
        <v>42</v>
      </c>
      <c r="F361" t="s">
        <v>14</v>
      </c>
      <c r="G361" s="2">
        <v>4</v>
      </c>
      <c r="H361" s="15">
        <v>25</v>
      </c>
      <c r="I361" s="14">
        <v>100</v>
      </c>
    </row>
    <row r="362" spans="1:9" x14ac:dyDescent="0.25">
      <c r="A362">
        <v>361</v>
      </c>
      <c r="B362" s="1" t="d">
        <v>2023-12-10</v>
      </c>
      <c r="C362" t="s">
        <v>374</v>
      </c>
      <c r="D362" t="s">
        <v>13</v>
      </c>
      <c r="E362" s="2">
        <v>34</v>
      </c>
      <c r="F362" t="s">
        <v>16</v>
      </c>
      <c r="G362" s="2">
        <v>4</v>
      </c>
      <c r="H362" s="15">
        <v>300</v>
      </c>
      <c r="I362" s="14">
        <v>1200</v>
      </c>
    </row>
    <row r="363" spans="1:9" x14ac:dyDescent="0.25">
      <c r="A363">
        <v>362</v>
      </c>
      <c r="B363" s="1" t="d">
        <v>2023-11-27</v>
      </c>
      <c r="C363" t="s">
        <v>375</v>
      </c>
      <c r="D363" t="s">
        <v>10</v>
      </c>
      <c r="E363" s="2">
        <v>50</v>
      </c>
      <c r="F363" t="s">
        <v>14</v>
      </c>
      <c r="G363" s="2">
        <v>1</v>
      </c>
      <c r="H363" s="15">
        <v>25</v>
      </c>
      <c r="I363" s="14">
        <v>25</v>
      </c>
    </row>
    <row r="364" spans="1:9" x14ac:dyDescent="0.25">
      <c r="A364">
        <v>363</v>
      </c>
      <c r="B364" s="1" t="d">
        <v>2023-06-03</v>
      </c>
      <c r="C364" t="s">
        <v>376</v>
      </c>
      <c r="D364" t="s">
        <v>10</v>
      </c>
      <c r="E364" s="2">
        <v>64</v>
      </c>
      <c r="F364" t="s">
        <v>11</v>
      </c>
      <c r="G364" s="2">
        <v>1</v>
      </c>
      <c r="H364" s="15">
        <v>25</v>
      </c>
      <c r="I364" s="14">
        <v>25</v>
      </c>
    </row>
    <row r="365" spans="1:9" x14ac:dyDescent="0.25">
      <c r="A365">
        <v>364</v>
      </c>
      <c r="B365" s="1" t="d">
        <v>2023-08-23</v>
      </c>
      <c r="C365" t="s">
        <v>377</v>
      </c>
      <c r="D365" t="s">
        <v>13</v>
      </c>
      <c r="E365" s="2">
        <v>19</v>
      </c>
      <c r="F365" t="s">
        <v>11</v>
      </c>
      <c r="G365" s="2">
        <v>1</v>
      </c>
      <c r="H365" s="15">
        <v>500</v>
      </c>
      <c r="I365" s="14">
        <v>500</v>
      </c>
    </row>
    <row r="366" spans="1:9" x14ac:dyDescent="0.25">
      <c r="A366">
        <v>365</v>
      </c>
      <c r="B366" s="1" t="d">
        <v>2023-06-11</v>
      </c>
      <c r="C366" t="s">
        <v>378</v>
      </c>
      <c r="D366" t="s">
        <v>10</v>
      </c>
      <c r="E366" s="2">
        <v>31</v>
      </c>
      <c r="F366" t="s">
        <v>14</v>
      </c>
      <c r="G366" s="2">
        <v>1</v>
      </c>
      <c r="H366" s="15">
        <v>300</v>
      </c>
      <c r="I366" s="14">
        <v>300</v>
      </c>
    </row>
    <row r="367" spans="1:9" x14ac:dyDescent="0.25">
      <c r="A367">
        <v>366</v>
      </c>
      <c r="B367" s="1" t="d">
        <v>2023-02-07</v>
      </c>
      <c r="C367" t="s">
        <v>379</v>
      </c>
      <c r="D367" t="s">
        <v>10</v>
      </c>
      <c r="E367" s="2">
        <v>57</v>
      </c>
      <c r="F367" t="s">
        <v>14</v>
      </c>
      <c r="G367" s="2">
        <v>2</v>
      </c>
      <c r="H367" s="15">
        <v>50</v>
      </c>
      <c r="I367" s="14">
        <v>100</v>
      </c>
    </row>
    <row r="368" spans="1:9" x14ac:dyDescent="0.25">
      <c r="A368">
        <v>367</v>
      </c>
      <c r="B368" s="1" t="d">
        <v>2023-01-05</v>
      </c>
      <c r="C368" t="s">
        <v>380</v>
      </c>
      <c r="D368" t="s">
        <v>13</v>
      </c>
      <c r="E368" s="2">
        <v>57</v>
      </c>
      <c r="F368" t="s">
        <v>16</v>
      </c>
      <c r="G368" s="2">
        <v>1</v>
      </c>
      <c r="H368" s="15">
        <v>50</v>
      </c>
      <c r="I368" s="14">
        <v>50</v>
      </c>
    </row>
    <row r="369" spans="1:9" x14ac:dyDescent="0.25">
      <c r="A369">
        <v>368</v>
      </c>
      <c r="B369" s="1" t="d">
        <v>2023-08-23</v>
      </c>
      <c r="C369" t="s">
        <v>381</v>
      </c>
      <c r="D369" t="s">
        <v>13</v>
      </c>
      <c r="E369" s="2">
        <v>56</v>
      </c>
      <c r="F369" t="s">
        <v>14</v>
      </c>
      <c r="G369" s="2">
        <v>4</v>
      </c>
      <c r="H369" s="15">
        <v>300</v>
      </c>
      <c r="I369" s="14">
        <v>1200</v>
      </c>
    </row>
    <row r="370" spans="1:9" x14ac:dyDescent="0.25">
      <c r="A370">
        <v>369</v>
      </c>
      <c r="B370" s="1" t="d">
        <v>2023-11-15</v>
      </c>
      <c r="C370" t="s">
        <v>382</v>
      </c>
      <c r="D370" t="s">
        <v>10</v>
      </c>
      <c r="E370" s="2">
        <v>23</v>
      </c>
      <c r="F370" t="s">
        <v>16</v>
      </c>
      <c r="G370" s="2">
        <v>3</v>
      </c>
      <c r="H370" s="15">
        <v>500</v>
      </c>
      <c r="I370" s="14">
        <v>1500</v>
      </c>
    </row>
    <row r="371" spans="1:9" x14ac:dyDescent="0.25">
      <c r="A371">
        <v>370</v>
      </c>
      <c r="B371" s="1" t="d">
        <v>2023-10-16</v>
      </c>
      <c r="C371" t="s">
        <v>383</v>
      </c>
      <c r="D371" t="s">
        <v>10</v>
      </c>
      <c r="E371" s="2">
        <v>23</v>
      </c>
      <c r="F371" t="s">
        <v>16</v>
      </c>
      <c r="G371" s="2">
        <v>2</v>
      </c>
      <c r="H371" s="15">
        <v>30</v>
      </c>
      <c r="I371" s="14">
        <v>60</v>
      </c>
    </row>
    <row r="372" spans="1:9" x14ac:dyDescent="0.25">
      <c r="A372">
        <v>371</v>
      </c>
      <c r="B372" s="1" t="d">
        <v>2023-02-21</v>
      </c>
      <c r="C372" t="s">
        <v>384</v>
      </c>
      <c r="D372" t="s">
        <v>13</v>
      </c>
      <c r="E372" s="2">
        <v>20</v>
      </c>
      <c r="F372" t="s">
        <v>11</v>
      </c>
      <c r="G372" s="2">
        <v>1</v>
      </c>
      <c r="H372" s="15">
        <v>25</v>
      </c>
      <c r="I372" s="14">
        <v>25</v>
      </c>
    </row>
    <row r="373" spans="1:9" x14ac:dyDescent="0.25">
      <c r="A373">
        <v>372</v>
      </c>
      <c r="B373" s="1" t="d">
        <v>2023-02-07</v>
      </c>
      <c r="C373" t="s">
        <v>385</v>
      </c>
      <c r="D373" t="s">
        <v>13</v>
      </c>
      <c r="E373" s="2">
        <v>24</v>
      </c>
      <c r="F373" t="s">
        <v>11</v>
      </c>
      <c r="G373" s="2">
        <v>3</v>
      </c>
      <c r="H373" s="15">
        <v>500</v>
      </c>
      <c r="I373" s="14">
        <v>1500</v>
      </c>
    </row>
    <row r="374" spans="1:9" x14ac:dyDescent="0.25">
      <c r="A374">
        <v>373</v>
      </c>
      <c r="B374" s="1" t="d">
        <v>2023-10-03</v>
      </c>
      <c r="C374" t="s">
        <v>386</v>
      </c>
      <c r="D374" t="s">
        <v>13</v>
      </c>
      <c r="E374" s="2">
        <v>25</v>
      </c>
      <c r="F374" t="s">
        <v>11</v>
      </c>
      <c r="G374" s="2">
        <v>2</v>
      </c>
      <c r="H374" s="15">
        <v>300</v>
      </c>
      <c r="I374" s="14">
        <v>600</v>
      </c>
    </row>
    <row r="375" spans="1:9" x14ac:dyDescent="0.25">
      <c r="A375">
        <v>374</v>
      </c>
      <c r="B375" s="1" t="d">
        <v>2023-04-20</v>
      </c>
      <c r="C375" t="s">
        <v>387</v>
      </c>
      <c r="D375" t="s">
        <v>13</v>
      </c>
      <c r="E375" s="2">
        <v>59</v>
      </c>
      <c r="F375" t="s">
        <v>11</v>
      </c>
      <c r="G375" s="2">
        <v>3</v>
      </c>
      <c r="H375" s="15">
        <v>25</v>
      </c>
      <c r="I375" s="14">
        <v>75</v>
      </c>
    </row>
    <row r="376" spans="1:9" x14ac:dyDescent="0.25">
      <c r="A376">
        <v>375</v>
      </c>
      <c r="B376" s="1" t="d">
        <v>2023-09-17</v>
      </c>
      <c r="C376" t="s">
        <v>388</v>
      </c>
      <c r="D376" t="s">
        <v>10</v>
      </c>
      <c r="E376" s="2">
        <v>32</v>
      </c>
      <c r="F376" t="s">
        <v>14</v>
      </c>
      <c r="G376" s="2">
        <v>1</v>
      </c>
      <c r="H376" s="15">
        <v>50</v>
      </c>
      <c r="I376" s="14">
        <v>50</v>
      </c>
    </row>
    <row r="377" spans="1:9" x14ac:dyDescent="0.25">
      <c r="A377">
        <v>376</v>
      </c>
      <c r="B377" s="1" t="d">
        <v>2023-05-16</v>
      </c>
      <c r="C377" t="s">
        <v>389</v>
      </c>
      <c r="D377" t="s">
        <v>13</v>
      </c>
      <c r="E377" s="2">
        <v>64</v>
      </c>
      <c r="F377" t="s">
        <v>11</v>
      </c>
      <c r="G377" s="2">
        <v>1</v>
      </c>
      <c r="H377" s="15">
        <v>30</v>
      </c>
      <c r="I377" s="14">
        <v>30</v>
      </c>
    </row>
    <row r="378" spans="1:9" x14ac:dyDescent="0.25">
      <c r="A378">
        <v>377</v>
      </c>
      <c r="B378" s="1" t="d">
        <v>2023-03-09</v>
      </c>
      <c r="C378" t="s">
        <v>390</v>
      </c>
      <c r="D378" t="s">
        <v>13</v>
      </c>
      <c r="E378" s="2">
        <v>46</v>
      </c>
      <c r="F378" t="s">
        <v>14</v>
      </c>
      <c r="G378" s="2">
        <v>4</v>
      </c>
      <c r="H378" s="15">
        <v>50</v>
      </c>
      <c r="I378" s="14">
        <v>200</v>
      </c>
    </row>
    <row r="379" spans="1:9" x14ac:dyDescent="0.25">
      <c r="A379">
        <v>378</v>
      </c>
      <c r="B379" s="1" t="d">
        <v>2023-06-28</v>
      </c>
      <c r="C379" t="s">
        <v>391</v>
      </c>
      <c r="D379" t="s">
        <v>10</v>
      </c>
      <c r="E379" s="2">
        <v>50</v>
      </c>
      <c r="F379" t="s">
        <v>11</v>
      </c>
      <c r="G379" s="2">
        <v>1</v>
      </c>
      <c r="H379" s="15">
        <v>300</v>
      </c>
      <c r="I379" s="14">
        <v>300</v>
      </c>
    </row>
    <row r="380" spans="1:9" x14ac:dyDescent="0.25">
      <c r="A380">
        <v>379</v>
      </c>
      <c r="B380" s="1" t="d">
        <v>2023-02-05</v>
      </c>
      <c r="C380" t="s">
        <v>392</v>
      </c>
      <c r="D380" t="s">
        <v>13</v>
      </c>
      <c r="E380" s="2">
        <v>47</v>
      </c>
      <c r="F380" t="s">
        <v>14</v>
      </c>
      <c r="G380" s="2">
        <v>1</v>
      </c>
      <c r="H380" s="15">
        <v>25</v>
      </c>
      <c r="I380" s="14">
        <v>25</v>
      </c>
    </row>
    <row r="381" spans="1:9" x14ac:dyDescent="0.25">
      <c r="A381">
        <v>380</v>
      </c>
      <c r="B381" s="1" t="d">
        <v>2023-05-06</v>
      </c>
      <c r="C381" t="s">
        <v>393</v>
      </c>
      <c r="D381" t="s">
        <v>10</v>
      </c>
      <c r="E381" s="2">
        <v>56</v>
      </c>
      <c r="F381" t="s">
        <v>16</v>
      </c>
      <c r="G381" s="2">
        <v>2</v>
      </c>
      <c r="H381" s="15">
        <v>300</v>
      </c>
      <c r="I381" s="14">
        <v>600</v>
      </c>
    </row>
    <row r="382" spans="1:9" x14ac:dyDescent="0.25">
      <c r="A382">
        <v>381</v>
      </c>
      <c r="B382" s="1" t="d">
        <v>2023-07-09</v>
      </c>
      <c r="C382" t="s">
        <v>394</v>
      </c>
      <c r="D382" t="s">
        <v>13</v>
      </c>
      <c r="E382" s="2">
        <v>44</v>
      </c>
      <c r="F382" t="s">
        <v>14</v>
      </c>
      <c r="G382" s="2">
        <v>4</v>
      </c>
      <c r="H382" s="15">
        <v>25</v>
      </c>
      <c r="I382" s="14">
        <v>100</v>
      </c>
    </row>
    <row r="383" spans="1:9" x14ac:dyDescent="0.25">
      <c r="A383">
        <v>382</v>
      </c>
      <c r="B383" s="1" t="d">
        <v>2023-05-26</v>
      </c>
      <c r="C383" t="s">
        <v>395</v>
      </c>
      <c r="D383" t="s">
        <v>13</v>
      </c>
      <c r="E383" s="2">
        <v>53</v>
      </c>
      <c r="F383" t="s">
        <v>14</v>
      </c>
      <c r="G383" s="2">
        <v>2</v>
      </c>
      <c r="H383" s="15">
        <v>500</v>
      </c>
      <c r="I383" s="14">
        <v>1000</v>
      </c>
    </row>
    <row r="384" spans="1:9" x14ac:dyDescent="0.25">
      <c r="A384">
        <v>383</v>
      </c>
      <c r="B384" s="1" t="d">
        <v>2023-03-22</v>
      </c>
      <c r="C384" t="s">
        <v>396</v>
      </c>
      <c r="D384" t="s">
        <v>13</v>
      </c>
      <c r="E384" s="2">
        <v>46</v>
      </c>
      <c r="F384" t="s">
        <v>11</v>
      </c>
      <c r="G384" s="2">
        <v>3</v>
      </c>
      <c r="H384" s="15">
        <v>30</v>
      </c>
      <c r="I384" s="14">
        <v>90</v>
      </c>
    </row>
    <row r="385" spans="1:9" x14ac:dyDescent="0.25">
      <c r="A385">
        <v>384</v>
      </c>
      <c r="B385" s="1" t="d">
        <v>2023-08-13</v>
      </c>
      <c r="C385" t="s">
        <v>397</v>
      </c>
      <c r="D385" t="s">
        <v>10</v>
      </c>
      <c r="E385" s="2">
        <v>55</v>
      </c>
      <c r="F385" t="s">
        <v>14</v>
      </c>
      <c r="G385" s="2">
        <v>1</v>
      </c>
      <c r="H385" s="15">
        <v>500</v>
      </c>
      <c r="I385" s="14">
        <v>500</v>
      </c>
    </row>
    <row r="386" spans="1:9" x14ac:dyDescent="0.25">
      <c r="A386">
        <v>385</v>
      </c>
      <c r="B386" s="1" t="d">
        <v>2023-10-06</v>
      </c>
      <c r="C386" t="s">
        <v>398</v>
      </c>
      <c r="D386" t="s">
        <v>10</v>
      </c>
      <c r="E386" s="2">
        <v>50</v>
      </c>
      <c r="F386" t="s">
        <v>16</v>
      </c>
      <c r="G386" s="2">
        <v>3</v>
      </c>
      <c r="H386" s="15">
        <v>500</v>
      </c>
      <c r="I386" s="14">
        <v>1500</v>
      </c>
    </row>
    <row r="387" spans="1:9" x14ac:dyDescent="0.25">
      <c r="A387">
        <v>386</v>
      </c>
      <c r="B387" s="1" t="d">
        <v>2023-12-27</v>
      </c>
      <c r="C387" t="s">
        <v>399</v>
      </c>
      <c r="D387" t="s">
        <v>13</v>
      </c>
      <c r="E387" s="2">
        <v>54</v>
      </c>
      <c r="F387" t="s">
        <v>16</v>
      </c>
      <c r="G387" s="2">
        <v>2</v>
      </c>
      <c r="H387" s="15">
        <v>300</v>
      </c>
      <c r="I387" s="14">
        <v>600</v>
      </c>
    </row>
    <row r="388" spans="1:9" x14ac:dyDescent="0.25">
      <c r="A388">
        <v>387</v>
      </c>
      <c r="B388" s="1" t="d">
        <v>2023-06-04</v>
      </c>
      <c r="C388" t="s">
        <v>400</v>
      </c>
      <c r="D388" t="s">
        <v>10</v>
      </c>
      <c r="E388" s="2">
        <v>44</v>
      </c>
      <c r="F388" t="s">
        <v>11</v>
      </c>
      <c r="G388" s="2">
        <v>1</v>
      </c>
      <c r="H388" s="15">
        <v>30</v>
      </c>
      <c r="I388" s="14">
        <v>30</v>
      </c>
    </row>
    <row r="389" spans="1:9" x14ac:dyDescent="0.25">
      <c r="A389">
        <v>388</v>
      </c>
      <c r="B389" s="1" t="d">
        <v>2023-11-10</v>
      </c>
      <c r="C389" t="s">
        <v>401</v>
      </c>
      <c r="D389" t="s">
        <v>10</v>
      </c>
      <c r="E389" s="2">
        <v>50</v>
      </c>
      <c r="F389" t="s">
        <v>16</v>
      </c>
      <c r="G389" s="2">
        <v>1</v>
      </c>
      <c r="H389" s="15">
        <v>25</v>
      </c>
      <c r="I389" s="14">
        <v>25</v>
      </c>
    </row>
    <row r="390" spans="1:9" x14ac:dyDescent="0.25">
      <c r="A390">
        <v>389</v>
      </c>
      <c r="B390" s="1" t="d">
        <v>2023-12-01</v>
      </c>
      <c r="C390" t="s">
        <v>402</v>
      </c>
      <c r="D390" t="s">
        <v>10</v>
      </c>
      <c r="E390" s="2">
        <v>21</v>
      </c>
      <c r="F390" t="s">
        <v>14</v>
      </c>
      <c r="G390" s="2">
        <v>2</v>
      </c>
      <c r="H390" s="15">
        <v>25</v>
      </c>
      <c r="I390" s="14">
        <v>50</v>
      </c>
    </row>
    <row r="391" spans="1:9" x14ac:dyDescent="0.25">
      <c r="A391">
        <v>390</v>
      </c>
      <c r="B391" s="1" t="d">
        <v>2023-09-28</v>
      </c>
      <c r="C391" t="s">
        <v>403</v>
      </c>
      <c r="D391" t="s">
        <v>10</v>
      </c>
      <c r="E391" s="2">
        <v>39</v>
      </c>
      <c r="F391" t="s">
        <v>16</v>
      </c>
      <c r="G391" s="2">
        <v>2</v>
      </c>
      <c r="H391" s="15">
        <v>50</v>
      </c>
      <c r="I391" s="14">
        <v>100</v>
      </c>
    </row>
    <row r="392" spans="1:9" x14ac:dyDescent="0.25">
      <c r="A392">
        <v>391</v>
      </c>
      <c r="B392" s="1" t="d">
        <v>2023-01-05</v>
      </c>
      <c r="C392" t="s">
        <v>404</v>
      </c>
      <c r="D392" t="s">
        <v>10</v>
      </c>
      <c r="E392" s="2">
        <v>19</v>
      </c>
      <c r="F392" t="s">
        <v>11</v>
      </c>
      <c r="G392" s="2">
        <v>2</v>
      </c>
      <c r="H392" s="15">
        <v>25</v>
      </c>
      <c r="I392" s="14">
        <v>50</v>
      </c>
    </row>
    <row r="393" spans="1:9" x14ac:dyDescent="0.25">
      <c r="A393">
        <v>392</v>
      </c>
      <c r="B393" s="1" t="d">
        <v>2023-12-08</v>
      </c>
      <c r="C393" t="s">
        <v>405</v>
      </c>
      <c r="D393" t="s">
        <v>10</v>
      </c>
      <c r="E393" s="2">
        <v>27</v>
      </c>
      <c r="F393" t="s">
        <v>14</v>
      </c>
      <c r="G393" s="2">
        <v>2</v>
      </c>
      <c r="H393" s="15">
        <v>300</v>
      </c>
      <c r="I393" s="14">
        <v>600</v>
      </c>
    </row>
    <row r="394" spans="1:9" x14ac:dyDescent="0.25">
      <c r="A394">
        <v>393</v>
      </c>
      <c r="B394" s="1" t="d">
        <v>2023-10-11</v>
      </c>
      <c r="C394" t="s">
        <v>406</v>
      </c>
      <c r="D394" t="s">
        <v>13</v>
      </c>
      <c r="E394" s="2">
        <v>22</v>
      </c>
      <c r="F394" t="s">
        <v>11</v>
      </c>
      <c r="G394" s="2">
        <v>2</v>
      </c>
      <c r="H394" s="15">
        <v>500</v>
      </c>
      <c r="I394" s="14">
        <v>1000</v>
      </c>
    </row>
    <row r="395" spans="1:9" x14ac:dyDescent="0.25">
      <c r="A395">
        <v>394</v>
      </c>
      <c r="B395" s="1" t="d">
        <v>2023-06-03</v>
      </c>
      <c r="C395" t="s">
        <v>407</v>
      </c>
      <c r="D395" t="s">
        <v>13</v>
      </c>
      <c r="E395" s="2">
        <v>27</v>
      </c>
      <c r="F395" t="s">
        <v>14</v>
      </c>
      <c r="G395" s="2">
        <v>1</v>
      </c>
      <c r="H395" s="15">
        <v>500</v>
      </c>
      <c r="I395" s="14">
        <v>500</v>
      </c>
    </row>
    <row r="396" spans="1:9" x14ac:dyDescent="0.25">
      <c r="A396">
        <v>395</v>
      </c>
      <c r="B396" s="1" t="d">
        <v>2023-12-06</v>
      </c>
      <c r="C396" t="s">
        <v>408</v>
      </c>
      <c r="D396" t="s">
        <v>10</v>
      </c>
      <c r="E396" s="2">
        <v>50</v>
      </c>
      <c r="F396" t="s">
        <v>16</v>
      </c>
      <c r="G396" s="2">
        <v>2</v>
      </c>
      <c r="H396" s="15">
        <v>500</v>
      </c>
      <c r="I396" s="14">
        <v>1000</v>
      </c>
    </row>
    <row r="397" spans="1:9" x14ac:dyDescent="0.25">
      <c r="A397">
        <v>396</v>
      </c>
      <c r="B397" s="1" t="d">
        <v>2023-02-23</v>
      </c>
      <c r="C397" t="s">
        <v>409</v>
      </c>
      <c r="D397" t="s">
        <v>13</v>
      </c>
      <c r="E397" s="2">
        <v>55</v>
      </c>
      <c r="F397" t="s">
        <v>11</v>
      </c>
      <c r="G397" s="2">
        <v>1</v>
      </c>
      <c r="H397" s="15">
        <v>30</v>
      </c>
      <c r="I397" s="14">
        <v>30</v>
      </c>
    </row>
    <row r="398" spans="1:9" x14ac:dyDescent="0.25">
      <c r="A398">
        <v>397</v>
      </c>
      <c r="B398" s="1" t="d">
        <v>2023-03-10</v>
      </c>
      <c r="C398" t="s">
        <v>410</v>
      </c>
      <c r="D398" t="s">
        <v>13</v>
      </c>
      <c r="E398" s="2">
        <v>30</v>
      </c>
      <c r="F398" t="s">
        <v>11</v>
      </c>
      <c r="G398" s="2">
        <v>1</v>
      </c>
      <c r="H398" s="15">
        <v>25</v>
      </c>
      <c r="I398" s="14">
        <v>25</v>
      </c>
    </row>
    <row r="399" spans="1:9" x14ac:dyDescent="0.25">
      <c r="A399">
        <v>398</v>
      </c>
      <c r="B399" s="1" t="d">
        <v>2023-05-16</v>
      </c>
      <c r="C399" t="s">
        <v>411</v>
      </c>
      <c r="D399" t="s">
        <v>13</v>
      </c>
      <c r="E399" s="2">
        <v>48</v>
      </c>
      <c r="F399" t="s">
        <v>14</v>
      </c>
      <c r="G399" s="2">
        <v>2</v>
      </c>
      <c r="H399" s="15">
        <v>300</v>
      </c>
      <c r="I399" s="14">
        <v>600</v>
      </c>
    </row>
    <row r="400" spans="1:9" x14ac:dyDescent="0.25">
      <c r="A400">
        <v>399</v>
      </c>
      <c r="B400" s="1" t="d">
        <v>2023-03-01</v>
      </c>
      <c r="C400" t="s">
        <v>412</v>
      </c>
      <c r="D400" t="s">
        <v>13</v>
      </c>
      <c r="E400" s="2">
        <v>64</v>
      </c>
      <c r="F400" t="s">
        <v>11</v>
      </c>
      <c r="G400" s="2">
        <v>2</v>
      </c>
      <c r="H400" s="15">
        <v>30</v>
      </c>
      <c r="I400" s="14">
        <v>60</v>
      </c>
    </row>
    <row r="401" spans="1:9" x14ac:dyDescent="0.25">
      <c r="A401">
        <v>400</v>
      </c>
      <c r="B401" s="1" t="d">
        <v>2023-02-24</v>
      </c>
      <c r="C401" t="s">
        <v>413</v>
      </c>
      <c r="D401" t="s">
        <v>10</v>
      </c>
      <c r="E401" s="2">
        <v>53</v>
      </c>
      <c r="F401" t="s">
        <v>14</v>
      </c>
      <c r="G401" s="2">
        <v>4</v>
      </c>
      <c r="H401" s="15">
        <v>50</v>
      </c>
      <c r="I401" s="14">
        <v>200</v>
      </c>
    </row>
    <row r="402" spans="1:9" x14ac:dyDescent="0.25">
      <c r="A402">
        <v>401</v>
      </c>
      <c r="B402" s="1" t="d">
        <v>2023-10-11</v>
      </c>
      <c r="C402" t="s">
        <v>414</v>
      </c>
      <c r="D402" t="s">
        <v>13</v>
      </c>
      <c r="E402" s="2">
        <v>62</v>
      </c>
      <c r="F402" t="s">
        <v>14</v>
      </c>
      <c r="G402" s="2">
        <v>1</v>
      </c>
      <c r="H402" s="15">
        <v>300</v>
      </c>
      <c r="I402" s="14">
        <v>300</v>
      </c>
    </row>
    <row r="403" spans="1:9" x14ac:dyDescent="0.25">
      <c r="A403">
        <v>402</v>
      </c>
      <c r="B403" s="1" t="d">
        <v>2023-03-21</v>
      </c>
      <c r="C403" t="s">
        <v>415</v>
      </c>
      <c r="D403" t="s">
        <v>13</v>
      </c>
      <c r="E403" s="2">
        <v>41</v>
      </c>
      <c r="F403" t="s">
        <v>14</v>
      </c>
      <c r="G403" s="2">
        <v>2</v>
      </c>
      <c r="H403" s="15">
        <v>300</v>
      </c>
      <c r="I403" s="14">
        <v>600</v>
      </c>
    </row>
    <row r="404" spans="1:9" x14ac:dyDescent="0.25">
      <c r="A404">
        <v>403</v>
      </c>
      <c r="B404" s="1" t="d">
        <v>2023-05-20</v>
      </c>
      <c r="C404" t="s">
        <v>416</v>
      </c>
      <c r="D404" t="s">
        <v>10</v>
      </c>
      <c r="E404" s="2">
        <v>32</v>
      </c>
      <c r="F404" t="s">
        <v>14</v>
      </c>
      <c r="G404" s="2">
        <v>2</v>
      </c>
      <c r="H404" s="15">
        <v>300</v>
      </c>
      <c r="I404" s="14">
        <v>600</v>
      </c>
    </row>
    <row r="405" spans="1:9" x14ac:dyDescent="0.25">
      <c r="A405">
        <v>404</v>
      </c>
      <c r="B405" s="1" t="d">
        <v>2023-05-25</v>
      </c>
      <c r="C405" t="s">
        <v>417</v>
      </c>
      <c r="D405" t="s">
        <v>10</v>
      </c>
      <c r="E405" s="2">
        <v>46</v>
      </c>
      <c r="F405" t="s">
        <v>16</v>
      </c>
      <c r="G405" s="2">
        <v>2</v>
      </c>
      <c r="H405" s="15">
        <v>500</v>
      </c>
      <c r="I405" s="14">
        <v>1000</v>
      </c>
    </row>
    <row r="406" spans="1:9" x14ac:dyDescent="0.25">
      <c r="A406">
        <v>405</v>
      </c>
      <c r="B406" s="1" t="d">
        <v>2023-11-06</v>
      </c>
      <c r="C406" t="s">
        <v>418</v>
      </c>
      <c r="D406" t="s">
        <v>13</v>
      </c>
      <c r="E406" s="2">
        <v>25</v>
      </c>
      <c r="F406" t="s">
        <v>14</v>
      </c>
      <c r="G406" s="2">
        <v>4</v>
      </c>
      <c r="H406" s="15">
        <v>300</v>
      </c>
      <c r="I406" s="14">
        <v>1200</v>
      </c>
    </row>
    <row r="407" spans="1:9" x14ac:dyDescent="0.25">
      <c r="A407">
        <v>406</v>
      </c>
      <c r="B407" s="1" t="d">
        <v>2023-04-18</v>
      </c>
      <c r="C407" t="s">
        <v>419</v>
      </c>
      <c r="D407" t="s">
        <v>13</v>
      </c>
      <c r="E407" s="2">
        <v>22</v>
      </c>
      <c r="F407" t="s">
        <v>11</v>
      </c>
      <c r="G407" s="2">
        <v>4</v>
      </c>
      <c r="H407" s="15">
        <v>25</v>
      </c>
      <c r="I407" s="14">
        <v>100</v>
      </c>
    </row>
    <row r="408" spans="1:9" x14ac:dyDescent="0.25">
      <c r="A408">
        <v>407</v>
      </c>
      <c r="B408" s="1" t="d">
        <v>2023-06-25</v>
      </c>
      <c r="C408" t="s">
        <v>420</v>
      </c>
      <c r="D408" t="s">
        <v>13</v>
      </c>
      <c r="E408" s="2">
        <v>46</v>
      </c>
      <c r="F408" t="s">
        <v>16</v>
      </c>
      <c r="G408" s="2">
        <v>3</v>
      </c>
      <c r="H408" s="15">
        <v>300</v>
      </c>
      <c r="I408" s="14">
        <v>900</v>
      </c>
    </row>
    <row r="409" spans="1:9" x14ac:dyDescent="0.25">
      <c r="A409">
        <v>408</v>
      </c>
      <c r="B409" s="1" t="d">
        <v>2023-04-15</v>
      </c>
      <c r="C409" t="s">
        <v>421</v>
      </c>
      <c r="D409" t="s">
        <v>13</v>
      </c>
      <c r="E409" s="2">
        <v>64</v>
      </c>
      <c r="F409" t="s">
        <v>11</v>
      </c>
      <c r="G409" s="2">
        <v>1</v>
      </c>
      <c r="H409" s="15">
        <v>500</v>
      </c>
      <c r="I409" s="14">
        <v>500</v>
      </c>
    </row>
    <row r="410" spans="1:9" x14ac:dyDescent="0.25">
      <c r="A410">
        <v>409</v>
      </c>
      <c r="B410" s="1" t="d">
        <v>2023-12-18</v>
      </c>
      <c r="C410" t="s">
        <v>422</v>
      </c>
      <c r="D410" t="s">
        <v>13</v>
      </c>
      <c r="E410" s="2">
        <v>21</v>
      </c>
      <c r="F410" t="s">
        <v>16</v>
      </c>
      <c r="G410" s="2">
        <v>3</v>
      </c>
      <c r="H410" s="15">
        <v>300</v>
      </c>
      <c r="I410" s="14">
        <v>900</v>
      </c>
    </row>
    <row r="411" spans="1:9" x14ac:dyDescent="0.25">
      <c r="A411">
        <v>410</v>
      </c>
      <c r="B411" s="1" t="d">
        <v>2023-11-21</v>
      </c>
      <c r="C411" t="s">
        <v>423</v>
      </c>
      <c r="D411" t="s">
        <v>13</v>
      </c>
      <c r="E411" s="2">
        <v>29</v>
      </c>
      <c r="F411" t="s">
        <v>14</v>
      </c>
      <c r="G411" s="2">
        <v>2</v>
      </c>
      <c r="H411" s="15">
        <v>50</v>
      </c>
      <c r="I411" s="14">
        <v>100</v>
      </c>
    </row>
    <row r="412" spans="1:9" x14ac:dyDescent="0.25">
      <c r="A412">
        <v>411</v>
      </c>
      <c r="B412" s="1" t="d">
        <v>2023-05-16</v>
      </c>
      <c r="C412" t="s">
        <v>424</v>
      </c>
      <c r="D412" t="s">
        <v>10</v>
      </c>
      <c r="E412" s="2">
        <v>62</v>
      </c>
      <c r="F412" t="s">
        <v>16</v>
      </c>
      <c r="G412" s="2">
        <v>4</v>
      </c>
      <c r="H412" s="15">
        <v>50</v>
      </c>
      <c r="I412" s="14">
        <v>200</v>
      </c>
    </row>
    <row r="413" spans="1:9" x14ac:dyDescent="0.25">
      <c r="A413">
        <v>412</v>
      </c>
      <c r="B413" s="1" t="d">
        <v>2023-09-16</v>
      </c>
      <c r="C413" t="s">
        <v>425</v>
      </c>
      <c r="D413" t="s">
        <v>13</v>
      </c>
      <c r="E413" s="2">
        <v>19</v>
      </c>
      <c r="F413" t="s">
        <v>16</v>
      </c>
      <c r="G413" s="2">
        <v>4</v>
      </c>
      <c r="H413" s="15">
        <v>500</v>
      </c>
      <c r="I413" s="14">
        <v>2000</v>
      </c>
    </row>
    <row r="414" spans="1:9" x14ac:dyDescent="0.25">
      <c r="A414">
        <v>413</v>
      </c>
      <c r="B414" s="1" t="d">
        <v>2023-09-08</v>
      </c>
      <c r="C414" t="s">
        <v>426</v>
      </c>
      <c r="D414" t="s">
        <v>13</v>
      </c>
      <c r="E414" s="2">
        <v>44</v>
      </c>
      <c r="F414" t="s">
        <v>11</v>
      </c>
      <c r="G414" s="2">
        <v>3</v>
      </c>
      <c r="H414" s="15">
        <v>25</v>
      </c>
      <c r="I414" s="14">
        <v>75</v>
      </c>
    </row>
    <row r="415" spans="1:9" x14ac:dyDescent="0.25">
      <c r="A415">
        <v>414</v>
      </c>
      <c r="B415" s="1" t="d">
        <v>2023-05-09</v>
      </c>
      <c r="C415" t="s">
        <v>427</v>
      </c>
      <c r="D415" t="s">
        <v>10</v>
      </c>
      <c r="E415" s="2">
        <v>48</v>
      </c>
      <c r="F415" t="s">
        <v>11</v>
      </c>
      <c r="G415" s="2">
        <v>4</v>
      </c>
      <c r="H415" s="15">
        <v>25</v>
      </c>
      <c r="I415" s="14">
        <v>100</v>
      </c>
    </row>
    <row r="416" spans="1:9" x14ac:dyDescent="0.25">
      <c r="A416">
        <v>415</v>
      </c>
      <c r="B416" s="1" t="d">
        <v>2023-01-27</v>
      </c>
      <c r="C416" t="s">
        <v>428</v>
      </c>
      <c r="D416" t="s">
        <v>10</v>
      </c>
      <c r="E416" s="2">
        <v>53</v>
      </c>
      <c r="F416" t="s">
        <v>14</v>
      </c>
      <c r="G416" s="2">
        <v>2</v>
      </c>
      <c r="H416" s="15">
        <v>30</v>
      </c>
      <c r="I416" s="14">
        <v>60</v>
      </c>
    </row>
    <row r="417" spans="1:9" x14ac:dyDescent="0.25">
      <c r="A417">
        <v>416</v>
      </c>
      <c r="B417" s="1" t="d">
        <v>2023-02-17</v>
      </c>
      <c r="C417" t="s">
        <v>429</v>
      </c>
      <c r="D417" t="s">
        <v>10</v>
      </c>
      <c r="E417" s="2">
        <v>53</v>
      </c>
      <c r="F417" t="s">
        <v>16</v>
      </c>
      <c r="G417" s="2">
        <v>4</v>
      </c>
      <c r="H417" s="15">
        <v>500</v>
      </c>
      <c r="I417" s="14">
        <v>2000</v>
      </c>
    </row>
    <row r="418" spans="1:9" x14ac:dyDescent="0.25">
      <c r="A418">
        <v>417</v>
      </c>
      <c r="B418" s="1" t="d">
        <v>2023-11-21</v>
      </c>
      <c r="C418" t="s">
        <v>430</v>
      </c>
      <c r="D418" t="s">
        <v>10</v>
      </c>
      <c r="E418" s="2">
        <v>43</v>
      </c>
      <c r="F418" t="s">
        <v>16</v>
      </c>
      <c r="G418" s="2">
        <v>3</v>
      </c>
      <c r="H418" s="15">
        <v>300</v>
      </c>
      <c r="I418" s="14">
        <v>900</v>
      </c>
    </row>
    <row r="419" spans="1:9" x14ac:dyDescent="0.25">
      <c r="A419">
        <v>418</v>
      </c>
      <c r="B419" s="1" t="d">
        <v>2023-08-05</v>
      </c>
      <c r="C419" t="s">
        <v>431</v>
      </c>
      <c r="D419" t="s">
        <v>13</v>
      </c>
      <c r="E419" s="2">
        <v>60</v>
      </c>
      <c r="F419" t="s">
        <v>16</v>
      </c>
      <c r="G419" s="2">
        <v>2</v>
      </c>
      <c r="H419" s="15">
        <v>500</v>
      </c>
      <c r="I419" s="14">
        <v>1000</v>
      </c>
    </row>
    <row r="420" spans="1:9" x14ac:dyDescent="0.25">
      <c r="A420">
        <v>419</v>
      </c>
      <c r="B420" s="1" t="d">
        <v>2023-05-22</v>
      </c>
      <c r="C420" t="s">
        <v>432</v>
      </c>
      <c r="D420" t="s">
        <v>13</v>
      </c>
      <c r="E420" s="2">
        <v>44</v>
      </c>
      <c r="F420" t="s">
        <v>14</v>
      </c>
      <c r="G420" s="2">
        <v>3</v>
      </c>
      <c r="H420" s="15">
        <v>30</v>
      </c>
      <c r="I420" s="14">
        <v>90</v>
      </c>
    </row>
    <row r="421" spans="1:9" x14ac:dyDescent="0.25">
      <c r="A421">
        <v>420</v>
      </c>
      <c r="B421" s="1" t="d">
        <v>2023-01-23</v>
      </c>
      <c r="C421" t="s">
        <v>433</v>
      </c>
      <c r="D421" t="s">
        <v>13</v>
      </c>
      <c r="E421" s="2">
        <v>22</v>
      </c>
      <c r="F421" t="s">
        <v>14</v>
      </c>
      <c r="G421" s="2">
        <v>4</v>
      </c>
      <c r="H421" s="15">
        <v>500</v>
      </c>
      <c r="I421" s="14">
        <v>2000</v>
      </c>
    </row>
    <row r="422" spans="1:9" x14ac:dyDescent="0.25">
      <c r="A422">
        <v>421</v>
      </c>
      <c r="B422" s="1" t="d">
        <v>2023-01-02</v>
      </c>
      <c r="C422" t="s">
        <v>434</v>
      </c>
      <c r="D422" t="s">
        <v>13</v>
      </c>
      <c r="E422" s="2">
        <v>37</v>
      </c>
      <c r="F422" t="s">
        <v>14</v>
      </c>
      <c r="G422" s="2">
        <v>3</v>
      </c>
      <c r="H422" s="15">
        <v>500</v>
      </c>
      <c r="I422" s="14">
        <v>1500</v>
      </c>
    </row>
    <row r="423" spans="1:9" x14ac:dyDescent="0.25">
      <c r="A423">
        <v>422</v>
      </c>
      <c r="B423" s="1" t="d">
        <v>2023-06-20</v>
      </c>
      <c r="C423" t="s">
        <v>435</v>
      </c>
      <c r="D423" t="s">
        <v>13</v>
      </c>
      <c r="E423" s="2">
        <v>28</v>
      </c>
      <c r="F423" t="s">
        <v>14</v>
      </c>
      <c r="G423" s="2">
        <v>3</v>
      </c>
      <c r="H423" s="15">
        <v>30</v>
      </c>
      <c r="I423" s="14">
        <v>90</v>
      </c>
    </row>
    <row r="424" spans="1:9" x14ac:dyDescent="0.25">
      <c r="A424">
        <v>423</v>
      </c>
      <c r="B424" s="1" t="d">
        <v>2023-03-08</v>
      </c>
      <c r="C424" t="s">
        <v>436</v>
      </c>
      <c r="D424" t="s">
        <v>13</v>
      </c>
      <c r="E424" s="2">
        <v>27</v>
      </c>
      <c r="F424" t="s">
        <v>14</v>
      </c>
      <c r="G424" s="2">
        <v>1</v>
      </c>
      <c r="H424" s="15">
        <v>25</v>
      </c>
      <c r="I424" s="14">
        <v>25</v>
      </c>
    </row>
    <row r="425" spans="1:9" x14ac:dyDescent="0.25">
      <c r="A425">
        <v>424</v>
      </c>
      <c r="B425" s="1" t="d">
        <v>2023-11-23</v>
      </c>
      <c r="C425" t="s">
        <v>437</v>
      </c>
      <c r="D425" t="s">
        <v>10</v>
      </c>
      <c r="E425" s="2">
        <v>57</v>
      </c>
      <c r="F425" t="s">
        <v>11</v>
      </c>
      <c r="G425" s="2">
        <v>4</v>
      </c>
      <c r="H425" s="15">
        <v>300</v>
      </c>
      <c r="I425" s="14">
        <v>1200</v>
      </c>
    </row>
    <row r="426" spans="1:9" x14ac:dyDescent="0.25">
      <c r="A426">
        <v>425</v>
      </c>
      <c r="B426" s="1" t="d">
        <v>2023-05-15</v>
      </c>
      <c r="C426" t="s">
        <v>438</v>
      </c>
      <c r="D426" t="s">
        <v>13</v>
      </c>
      <c r="E426" s="2">
        <v>55</v>
      </c>
      <c r="F426" t="s">
        <v>16</v>
      </c>
      <c r="G426" s="2">
        <v>4</v>
      </c>
      <c r="H426" s="15">
        <v>30</v>
      </c>
      <c r="I426" s="14">
        <v>120</v>
      </c>
    </row>
    <row r="427" spans="1:9" x14ac:dyDescent="0.25">
      <c r="A427">
        <v>426</v>
      </c>
      <c r="B427" s="1" t="d">
        <v>2023-03-24</v>
      </c>
      <c r="C427" t="s">
        <v>439</v>
      </c>
      <c r="D427" t="s">
        <v>10</v>
      </c>
      <c r="E427" s="2">
        <v>23</v>
      </c>
      <c r="F427" t="s">
        <v>16</v>
      </c>
      <c r="G427" s="2">
        <v>3</v>
      </c>
      <c r="H427" s="15">
        <v>50</v>
      </c>
      <c r="I427" s="14">
        <v>150</v>
      </c>
    </row>
    <row r="428" spans="1:9" x14ac:dyDescent="0.25">
      <c r="A428">
        <v>427</v>
      </c>
      <c r="B428" s="1" t="d">
        <v>2023-08-15</v>
      </c>
      <c r="C428" t="s">
        <v>440</v>
      </c>
      <c r="D428" t="s">
        <v>10</v>
      </c>
      <c r="E428" s="2">
        <v>25</v>
      </c>
      <c r="F428" t="s">
        <v>16</v>
      </c>
      <c r="G428" s="2">
        <v>1</v>
      </c>
      <c r="H428" s="15">
        <v>25</v>
      </c>
      <c r="I428" s="14">
        <v>25</v>
      </c>
    </row>
    <row r="429" spans="1:9" x14ac:dyDescent="0.25">
      <c r="A429">
        <v>428</v>
      </c>
      <c r="B429" s="1" t="d">
        <v>2023-10-10</v>
      </c>
      <c r="C429" t="s">
        <v>441</v>
      </c>
      <c r="D429" t="s">
        <v>13</v>
      </c>
      <c r="E429" s="2">
        <v>40</v>
      </c>
      <c r="F429" t="s">
        <v>16</v>
      </c>
      <c r="G429" s="2">
        <v>4</v>
      </c>
      <c r="H429" s="15">
        <v>50</v>
      </c>
      <c r="I429" s="14">
        <v>200</v>
      </c>
    </row>
    <row r="430" spans="1:9" x14ac:dyDescent="0.25">
      <c r="A430">
        <v>429</v>
      </c>
      <c r="B430" s="1" t="d">
        <v>2023-12-28</v>
      </c>
      <c r="C430" t="s">
        <v>442</v>
      </c>
      <c r="D430" t="s">
        <v>10</v>
      </c>
      <c r="E430" s="2">
        <v>64</v>
      </c>
      <c r="F430" t="s">
        <v>16</v>
      </c>
      <c r="G430" s="2">
        <v>2</v>
      </c>
      <c r="H430" s="15">
        <v>25</v>
      </c>
      <c r="I430" s="14">
        <v>50</v>
      </c>
    </row>
    <row r="431" spans="1:9" x14ac:dyDescent="0.25">
      <c r="A431">
        <v>430</v>
      </c>
      <c r="B431" s="1" t="d">
        <v>2023-08-07</v>
      </c>
      <c r="C431" t="s">
        <v>443</v>
      </c>
      <c r="D431" t="s">
        <v>13</v>
      </c>
      <c r="E431" s="2">
        <v>43</v>
      </c>
      <c r="F431" t="s">
        <v>16</v>
      </c>
      <c r="G431" s="2">
        <v>3</v>
      </c>
      <c r="H431" s="15">
        <v>300</v>
      </c>
      <c r="I431" s="14">
        <v>900</v>
      </c>
    </row>
    <row r="432" spans="1:9" x14ac:dyDescent="0.25">
      <c r="A432">
        <v>431</v>
      </c>
      <c r="B432" s="1" t="d">
        <v>2023-10-15</v>
      </c>
      <c r="C432" t="s">
        <v>444</v>
      </c>
      <c r="D432" t="s">
        <v>10</v>
      </c>
      <c r="E432" s="2">
        <v>63</v>
      </c>
      <c r="F432" t="s">
        <v>16</v>
      </c>
      <c r="G432" s="2">
        <v>4</v>
      </c>
      <c r="H432" s="15">
        <v>300</v>
      </c>
      <c r="I432" s="14">
        <v>1200</v>
      </c>
    </row>
    <row r="433" spans="1:9" x14ac:dyDescent="0.25">
      <c r="A433">
        <v>432</v>
      </c>
      <c r="B433" s="1" t="d">
        <v>2023-01-05</v>
      </c>
      <c r="C433" t="s">
        <v>445</v>
      </c>
      <c r="D433" t="s">
        <v>13</v>
      </c>
      <c r="E433" s="2">
        <v>60</v>
      </c>
      <c r="F433" t="s">
        <v>16</v>
      </c>
      <c r="G433" s="2">
        <v>2</v>
      </c>
      <c r="H433" s="15">
        <v>500</v>
      </c>
      <c r="I433" s="14">
        <v>1000</v>
      </c>
    </row>
    <row r="434" spans="1:9" x14ac:dyDescent="0.25">
      <c r="A434">
        <v>433</v>
      </c>
      <c r="B434" s="1" t="d">
        <v>2023-02-27</v>
      </c>
      <c r="C434" t="s">
        <v>446</v>
      </c>
      <c r="D434" t="s">
        <v>10</v>
      </c>
      <c r="E434" s="2">
        <v>29</v>
      </c>
      <c r="F434" t="s">
        <v>11</v>
      </c>
      <c r="G434" s="2">
        <v>4</v>
      </c>
      <c r="H434" s="15">
        <v>50</v>
      </c>
      <c r="I434" s="14">
        <v>200</v>
      </c>
    </row>
    <row r="435" spans="1:9" x14ac:dyDescent="0.25">
      <c r="A435">
        <v>434</v>
      </c>
      <c r="B435" s="1" t="d">
        <v>2023-02-08</v>
      </c>
      <c r="C435" t="s">
        <v>447</v>
      </c>
      <c r="D435" t="s">
        <v>13</v>
      </c>
      <c r="E435" s="2">
        <v>43</v>
      </c>
      <c r="F435" t="s">
        <v>16</v>
      </c>
      <c r="G435" s="2">
        <v>2</v>
      </c>
      <c r="H435" s="15">
        <v>25</v>
      </c>
      <c r="I435" s="14">
        <v>50</v>
      </c>
    </row>
    <row r="436" spans="1:9" x14ac:dyDescent="0.25">
      <c r="A436">
        <v>435</v>
      </c>
      <c r="B436" s="1" t="d">
        <v>2023-12-20</v>
      </c>
      <c r="C436" t="s">
        <v>448</v>
      </c>
      <c r="D436" t="s">
        <v>13</v>
      </c>
      <c r="E436" s="2">
        <v>30</v>
      </c>
      <c r="F436" t="s">
        <v>11</v>
      </c>
      <c r="G436" s="2">
        <v>3</v>
      </c>
      <c r="H436" s="15">
        <v>300</v>
      </c>
      <c r="I436" s="14">
        <v>900</v>
      </c>
    </row>
    <row r="437" spans="1:9" x14ac:dyDescent="0.25">
      <c r="A437">
        <v>436</v>
      </c>
      <c r="B437" s="1" t="d">
        <v>2023-03-18</v>
      </c>
      <c r="C437" t="s">
        <v>449</v>
      </c>
      <c r="D437" t="s">
        <v>13</v>
      </c>
      <c r="E437" s="2">
        <v>57</v>
      </c>
      <c r="F437" t="s">
        <v>14</v>
      </c>
      <c r="G437" s="2">
        <v>4</v>
      </c>
      <c r="H437" s="15">
        <v>30</v>
      </c>
      <c r="I437" s="14">
        <v>120</v>
      </c>
    </row>
    <row r="438" spans="1:9" x14ac:dyDescent="0.25">
      <c r="A438">
        <v>437</v>
      </c>
      <c r="B438" s="1" t="d">
        <v>2023-10-07</v>
      </c>
      <c r="C438" t="s">
        <v>450</v>
      </c>
      <c r="D438" t="s">
        <v>13</v>
      </c>
      <c r="E438" s="2">
        <v>35</v>
      </c>
      <c r="F438" t="s">
        <v>16</v>
      </c>
      <c r="G438" s="2">
        <v>4</v>
      </c>
      <c r="H438" s="15">
        <v>300</v>
      </c>
      <c r="I438" s="14">
        <v>1200</v>
      </c>
    </row>
    <row r="439" spans="1:9" x14ac:dyDescent="0.25">
      <c r="A439">
        <v>438</v>
      </c>
      <c r="B439" s="1" t="d">
        <v>2023-01-19</v>
      </c>
      <c r="C439" t="s">
        <v>451</v>
      </c>
      <c r="D439" t="s">
        <v>13</v>
      </c>
      <c r="E439" s="2">
        <v>42</v>
      </c>
      <c r="F439" t="s">
        <v>14</v>
      </c>
      <c r="G439" s="2">
        <v>1</v>
      </c>
      <c r="H439" s="15">
        <v>30</v>
      </c>
      <c r="I439" s="14">
        <v>30</v>
      </c>
    </row>
    <row r="440" spans="1:9" x14ac:dyDescent="0.25">
      <c r="A440">
        <v>439</v>
      </c>
      <c r="B440" s="1" t="d">
        <v>2023-07-09</v>
      </c>
      <c r="C440" t="s">
        <v>452</v>
      </c>
      <c r="D440" t="s">
        <v>10</v>
      </c>
      <c r="E440" s="2">
        <v>50</v>
      </c>
      <c r="F440" t="s">
        <v>14</v>
      </c>
      <c r="G440" s="2">
        <v>3</v>
      </c>
      <c r="H440" s="15">
        <v>25</v>
      </c>
      <c r="I440" s="14">
        <v>75</v>
      </c>
    </row>
    <row r="441" spans="1:9" x14ac:dyDescent="0.25">
      <c r="A441">
        <v>440</v>
      </c>
      <c r="B441" s="1" t="d">
        <v>2023-10-26</v>
      </c>
      <c r="C441" t="s">
        <v>453</v>
      </c>
      <c r="D441" t="s">
        <v>10</v>
      </c>
      <c r="E441" s="2">
        <v>64</v>
      </c>
      <c r="F441" t="s">
        <v>14</v>
      </c>
      <c r="G441" s="2">
        <v>2</v>
      </c>
      <c r="H441" s="15">
        <v>300</v>
      </c>
      <c r="I441" s="14">
        <v>600</v>
      </c>
    </row>
    <row r="442" spans="1:9" x14ac:dyDescent="0.25">
      <c r="A442">
        <v>441</v>
      </c>
      <c r="B442" s="1" t="d">
        <v>2023-10-10</v>
      </c>
      <c r="C442" t="s">
        <v>454</v>
      </c>
      <c r="D442" t="s">
        <v>10</v>
      </c>
      <c r="E442" s="2">
        <v>57</v>
      </c>
      <c r="F442" t="s">
        <v>11</v>
      </c>
      <c r="G442" s="2">
        <v>4</v>
      </c>
      <c r="H442" s="15">
        <v>300</v>
      </c>
      <c r="I442" s="14">
        <v>1200</v>
      </c>
    </row>
    <row r="443" spans="1:9" x14ac:dyDescent="0.25">
      <c r="A443">
        <v>442</v>
      </c>
      <c r="B443" s="1" t="d">
        <v>2023-03-17</v>
      </c>
      <c r="C443" t="s">
        <v>455</v>
      </c>
      <c r="D443" t="s">
        <v>13</v>
      </c>
      <c r="E443" s="2">
        <v>60</v>
      </c>
      <c r="F443" t="s">
        <v>14</v>
      </c>
      <c r="G443" s="2">
        <v>4</v>
      </c>
      <c r="H443" s="15">
        <v>25</v>
      </c>
      <c r="I443" s="14">
        <v>100</v>
      </c>
    </row>
    <row r="444" spans="1:9" x14ac:dyDescent="0.25">
      <c r="A444">
        <v>443</v>
      </c>
      <c r="B444" s="1" t="d">
        <v>2023-08-09</v>
      </c>
      <c r="C444" t="s">
        <v>456</v>
      </c>
      <c r="D444" t="s">
        <v>10</v>
      </c>
      <c r="E444" s="2">
        <v>29</v>
      </c>
      <c r="F444" t="s">
        <v>14</v>
      </c>
      <c r="G444" s="2">
        <v>2</v>
      </c>
      <c r="H444" s="15">
        <v>300</v>
      </c>
      <c r="I444" s="14">
        <v>600</v>
      </c>
    </row>
    <row r="445" spans="1:9" x14ac:dyDescent="0.25">
      <c r="A445">
        <v>444</v>
      </c>
      <c r="B445" s="1" t="d">
        <v>2023-03-07</v>
      </c>
      <c r="C445" t="s">
        <v>457</v>
      </c>
      <c r="D445" t="s">
        <v>13</v>
      </c>
      <c r="E445" s="2">
        <v>61</v>
      </c>
      <c r="F445" t="s">
        <v>14</v>
      </c>
      <c r="G445" s="2">
        <v>3</v>
      </c>
      <c r="H445" s="15">
        <v>30</v>
      </c>
      <c r="I445" s="14">
        <v>90</v>
      </c>
    </row>
    <row r="446" spans="1:9" x14ac:dyDescent="0.25">
      <c r="A446">
        <v>445</v>
      </c>
      <c r="B446" s="1" t="d">
        <v>2023-01-22</v>
      </c>
      <c r="C446" t="s">
        <v>458</v>
      </c>
      <c r="D446" t="s">
        <v>13</v>
      </c>
      <c r="E446" s="2">
        <v>53</v>
      </c>
      <c r="F446" t="s">
        <v>16</v>
      </c>
      <c r="G446" s="2">
        <v>1</v>
      </c>
      <c r="H446" s="15">
        <v>300</v>
      </c>
      <c r="I446" s="14">
        <v>300</v>
      </c>
    </row>
    <row r="447" spans="1:9" x14ac:dyDescent="0.25">
      <c r="A447">
        <v>446</v>
      </c>
      <c r="B447" s="1" t="d">
        <v>2023-06-07</v>
      </c>
      <c r="C447" t="s">
        <v>459</v>
      </c>
      <c r="D447" t="s">
        <v>10</v>
      </c>
      <c r="E447" s="2">
        <v>21</v>
      </c>
      <c r="F447" t="s">
        <v>16</v>
      </c>
      <c r="G447" s="2">
        <v>1</v>
      </c>
      <c r="H447" s="15">
        <v>50</v>
      </c>
      <c r="I447" s="14">
        <v>50</v>
      </c>
    </row>
    <row r="448" spans="1:9" x14ac:dyDescent="0.25">
      <c r="A448">
        <v>447</v>
      </c>
      <c r="B448" s="1" t="d">
        <v>2023-07-06</v>
      </c>
      <c r="C448" t="s">
        <v>460</v>
      </c>
      <c r="D448" t="s">
        <v>10</v>
      </c>
      <c r="E448" s="2">
        <v>22</v>
      </c>
      <c r="F448" t="s">
        <v>11</v>
      </c>
      <c r="G448" s="2">
        <v>4</v>
      </c>
      <c r="H448" s="15">
        <v>500</v>
      </c>
      <c r="I448" s="14">
        <v>2000</v>
      </c>
    </row>
    <row r="449" spans="1:9" x14ac:dyDescent="0.25">
      <c r="A449">
        <v>448</v>
      </c>
      <c r="B449" s="1" t="d">
        <v>2023-01-21</v>
      </c>
      <c r="C449" t="s">
        <v>461</v>
      </c>
      <c r="D449" t="s">
        <v>13</v>
      </c>
      <c r="E449" s="2">
        <v>54</v>
      </c>
      <c r="F449" t="s">
        <v>11</v>
      </c>
      <c r="G449" s="2">
        <v>2</v>
      </c>
      <c r="H449" s="15">
        <v>30</v>
      </c>
      <c r="I449" s="14">
        <v>60</v>
      </c>
    </row>
    <row r="450" spans="1:9" x14ac:dyDescent="0.25">
      <c r="A450">
        <v>449</v>
      </c>
      <c r="B450" s="1" t="d">
        <v>2023-07-03</v>
      </c>
      <c r="C450" t="s">
        <v>462</v>
      </c>
      <c r="D450" t="s">
        <v>10</v>
      </c>
      <c r="E450" s="2">
        <v>25</v>
      </c>
      <c r="F450" t="s">
        <v>16</v>
      </c>
      <c r="G450" s="2">
        <v>4</v>
      </c>
      <c r="H450" s="15">
        <v>50</v>
      </c>
      <c r="I450" s="14">
        <v>200</v>
      </c>
    </row>
    <row r="451" spans="1:9" x14ac:dyDescent="0.25">
      <c r="A451">
        <v>450</v>
      </c>
      <c r="B451" s="1" t="d">
        <v>2023-04-18</v>
      </c>
      <c r="C451" t="s">
        <v>463</v>
      </c>
      <c r="D451" t="s">
        <v>13</v>
      </c>
      <c r="E451" s="2">
        <v>59</v>
      </c>
      <c r="F451" t="s">
        <v>11</v>
      </c>
      <c r="G451" s="2">
        <v>2</v>
      </c>
      <c r="H451" s="15">
        <v>25</v>
      </c>
      <c r="I451" s="14">
        <v>50</v>
      </c>
    </row>
    <row r="452" spans="1:9" x14ac:dyDescent="0.25">
      <c r="A452">
        <v>451</v>
      </c>
      <c r="B452" s="1" t="d">
        <v>2023-12-16</v>
      </c>
      <c r="C452" t="s">
        <v>464</v>
      </c>
      <c r="D452" t="s">
        <v>13</v>
      </c>
      <c r="E452" s="2">
        <v>45</v>
      </c>
      <c r="F452" t="s">
        <v>16</v>
      </c>
      <c r="G452" s="2">
        <v>1</v>
      </c>
      <c r="H452" s="15">
        <v>30</v>
      </c>
      <c r="I452" s="14">
        <v>30</v>
      </c>
    </row>
    <row r="453" spans="1:9" x14ac:dyDescent="0.25">
      <c r="A453">
        <v>452</v>
      </c>
      <c r="B453" s="1" t="d">
        <v>2023-05-08</v>
      </c>
      <c r="C453" t="s">
        <v>465</v>
      </c>
      <c r="D453" t="s">
        <v>13</v>
      </c>
      <c r="E453" s="2">
        <v>48</v>
      </c>
      <c r="F453" t="s">
        <v>14</v>
      </c>
      <c r="G453" s="2">
        <v>3</v>
      </c>
      <c r="H453" s="15">
        <v>500</v>
      </c>
      <c r="I453" s="14">
        <v>1500</v>
      </c>
    </row>
    <row r="454" spans="1:9" x14ac:dyDescent="0.25">
      <c r="A454">
        <v>453</v>
      </c>
      <c r="B454" s="1" t="d">
        <v>2023-12-08</v>
      </c>
      <c r="C454" t="s">
        <v>466</v>
      </c>
      <c r="D454" t="s">
        <v>13</v>
      </c>
      <c r="E454" s="2">
        <v>26</v>
      </c>
      <c r="F454" t="s">
        <v>14</v>
      </c>
      <c r="G454" s="2">
        <v>2</v>
      </c>
      <c r="H454" s="15">
        <v>500</v>
      </c>
      <c r="I454" s="14">
        <v>1000</v>
      </c>
    </row>
    <row r="455" spans="1:9" x14ac:dyDescent="0.25">
      <c r="A455">
        <v>454</v>
      </c>
      <c r="B455" s="1" t="d">
        <v>2023-02-22</v>
      </c>
      <c r="C455" t="s">
        <v>467</v>
      </c>
      <c r="D455" t="s">
        <v>13</v>
      </c>
      <c r="E455" s="2">
        <v>46</v>
      </c>
      <c r="F455" t="s">
        <v>11</v>
      </c>
      <c r="G455" s="2">
        <v>1</v>
      </c>
      <c r="H455" s="15">
        <v>25</v>
      </c>
      <c r="I455" s="14">
        <v>25</v>
      </c>
    </row>
    <row r="456" spans="1:9" x14ac:dyDescent="0.25">
      <c r="A456">
        <v>455</v>
      </c>
      <c r="B456" s="1" t="d">
        <v>2023-07-01</v>
      </c>
      <c r="C456" t="s">
        <v>468</v>
      </c>
      <c r="D456" t="s">
        <v>10</v>
      </c>
      <c r="E456" s="2">
        <v>31</v>
      </c>
      <c r="F456" t="s">
        <v>16</v>
      </c>
      <c r="G456" s="2">
        <v>4</v>
      </c>
      <c r="H456" s="15">
        <v>25</v>
      </c>
      <c r="I456" s="14">
        <v>100</v>
      </c>
    </row>
    <row r="457" spans="1:9" x14ac:dyDescent="0.25">
      <c r="A457">
        <v>456</v>
      </c>
      <c r="B457" s="1" t="d">
        <v>2023-10-14</v>
      </c>
      <c r="C457" t="s">
        <v>469</v>
      </c>
      <c r="D457" t="s">
        <v>10</v>
      </c>
      <c r="E457" s="2">
        <v>57</v>
      </c>
      <c r="F457" t="s">
        <v>16</v>
      </c>
      <c r="G457" s="2">
        <v>2</v>
      </c>
      <c r="H457" s="15">
        <v>30</v>
      </c>
      <c r="I457" s="14">
        <v>60</v>
      </c>
    </row>
    <row r="458" spans="1:9" x14ac:dyDescent="0.25">
      <c r="A458">
        <v>457</v>
      </c>
      <c r="B458" s="1" t="d">
        <v>2023-07-28</v>
      </c>
      <c r="C458" t="s">
        <v>470</v>
      </c>
      <c r="D458" t="s">
        <v>13</v>
      </c>
      <c r="E458" s="2">
        <v>58</v>
      </c>
      <c r="F458" t="s">
        <v>11</v>
      </c>
      <c r="G458" s="2">
        <v>3</v>
      </c>
      <c r="H458" s="15">
        <v>300</v>
      </c>
      <c r="I458" s="14">
        <v>900</v>
      </c>
    </row>
    <row r="459" spans="1:9" x14ac:dyDescent="0.25">
      <c r="A459">
        <v>458</v>
      </c>
      <c r="B459" s="1" t="d">
        <v>2023-11-14</v>
      </c>
      <c r="C459" t="s">
        <v>471</v>
      </c>
      <c r="D459" t="s">
        <v>13</v>
      </c>
      <c r="E459" s="2">
        <v>39</v>
      </c>
      <c r="F459" t="s">
        <v>16</v>
      </c>
      <c r="G459" s="2">
        <v>4</v>
      </c>
      <c r="H459" s="15">
        <v>25</v>
      </c>
      <c r="I459" s="14">
        <v>100</v>
      </c>
    </row>
    <row r="460" spans="1:9" x14ac:dyDescent="0.25">
      <c r="A460">
        <v>459</v>
      </c>
      <c r="B460" s="1" t="d">
        <v>2023-03-21</v>
      </c>
      <c r="C460" t="s">
        <v>472</v>
      </c>
      <c r="D460" t="s">
        <v>10</v>
      </c>
      <c r="E460" s="2">
        <v>28</v>
      </c>
      <c r="F460" t="s">
        <v>14</v>
      </c>
      <c r="G460" s="2">
        <v>4</v>
      </c>
      <c r="H460" s="15">
        <v>300</v>
      </c>
      <c r="I460" s="14">
        <v>1200</v>
      </c>
    </row>
    <row r="461" spans="1:9" x14ac:dyDescent="0.25">
      <c r="A461">
        <v>460</v>
      </c>
      <c r="B461" s="1" t="d">
        <v>2023-05-02</v>
      </c>
      <c r="C461" t="s">
        <v>473</v>
      </c>
      <c r="D461" t="s">
        <v>10</v>
      </c>
      <c r="E461" s="2">
        <v>40</v>
      </c>
      <c r="F461" t="s">
        <v>11</v>
      </c>
      <c r="G461" s="2">
        <v>1</v>
      </c>
      <c r="H461" s="15">
        <v>50</v>
      </c>
      <c r="I461" s="14">
        <v>50</v>
      </c>
    </row>
    <row r="462" spans="1:9" x14ac:dyDescent="0.25">
      <c r="A462">
        <v>461</v>
      </c>
      <c r="B462" s="1" t="d">
        <v>2023-03-25</v>
      </c>
      <c r="C462" t="s">
        <v>474</v>
      </c>
      <c r="D462" t="s">
        <v>13</v>
      </c>
      <c r="E462" s="2">
        <v>18</v>
      </c>
      <c r="F462" t="s">
        <v>11</v>
      </c>
      <c r="G462" s="2">
        <v>2</v>
      </c>
      <c r="H462" s="15">
        <v>500</v>
      </c>
      <c r="I462" s="14">
        <v>1000</v>
      </c>
    </row>
    <row r="463" spans="1:9" x14ac:dyDescent="0.25">
      <c r="A463">
        <v>462</v>
      </c>
      <c r="B463" s="1" t="d">
        <v>2023-04-01</v>
      </c>
      <c r="C463" t="s">
        <v>475</v>
      </c>
      <c r="D463" t="s">
        <v>10</v>
      </c>
      <c r="E463" s="2">
        <v>63</v>
      </c>
      <c r="F463" t="s">
        <v>16</v>
      </c>
      <c r="G463" s="2">
        <v>4</v>
      </c>
      <c r="H463" s="15">
        <v>300</v>
      </c>
      <c r="I463" s="14">
        <v>1200</v>
      </c>
    </row>
    <row r="464" spans="1:9" x14ac:dyDescent="0.25">
      <c r="A464">
        <v>463</v>
      </c>
      <c r="B464" s="1" t="d">
        <v>2023-07-31</v>
      </c>
      <c r="C464" t="s">
        <v>476</v>
      </c>
      <c r="D464" t="s">
        <v>13</v>
      </c>
      <c r="E464" s="2">
        <v>54</v>
      </c>
      <c r="F464" t="s">
        <v>11</v>
      </c>
      <c r="G464" s="2">
        <v>3</v>
      </c>
      <c r="H464" s="15">
        <v>500</v>
      </c>
      <c r="I464" s="14">
        <v>1500</v>
      </c>
    </row>
    <row r="465" spans="1:9" x14ac:dyDescent="0.25">
      <c r="A465">
        <v>464</v>
      </c>
      <c r="B465" s="1" t="d">
        <v>2023-01-13</v>
      </c>
      <c r="C465" t="s">
        <v>477</v>
      </c>
      <c r="D465" t="s">
        <v>10</v>
      </c>
      <c r="E465" s="2">
        <v>38</v>
      </c>
      <c r="F465" t="s">
        <v>16</v>
      </c>
      <c r="G465" s="2">
        <v>2</v>
      </c>
      <c r="H465" s="15">
        <v>300</v>
      </c>
      <c r="I465" s="14">
        <v>600</v>
      </c>
    </row>
    <row r="466" spans="1:9" x14ac:dyDescent="0.25">
      <c r="A466">
        <v>465</v>
      </c>
      <c r="B466" s="1" t="d">
        <v>2023-04-02</v>
      </c>
      <c r="C466" t="s">
        <v>478</v>
      </c>
      <c r="D466" t="s">
        <v>13</v>
      </c>
      <c r="E466" s="2">
        <v>43</v>
      </c>
      <c r="F466" t="s">
        <v>16</v>
      </c>
      <c r="G466" s="2">
        <v>3</v>
      </c>
      <c r="H466" s="15">
        <v>50</v>
      </c>
      <c r="I466" s="14">
        <v>150</v>
      </c>
    </row>
    <row r="467" spans="1:9" x14ac:dyDescent="0.25">
      <c r="A467">
        <v>466</v>
      </c>
      <c r="B467" s="1" t="d">
        <v>2023-06-20</v>
      </c>
      <c r="C467" t="s">
        <v>479</v>
      </c>
      <c r="D467" t="s">
        <v>10</v>
      </c>
      <c r="E467" s="2">
        <v>63</v>
      </c>
      <c r="F467" t="s">
        <v>16</v>
      </c>
      <c r="G467" s="2">
        <v>4</v>
      </c>
      <c r="H467" s="15">
        <v>25</v>
      </c>
      <c r="I467" s="14">
        <v>100</v>
      </c>
    </row>
    <row r="468" spans="1:9" x14ac:dyDescent="0.25">
      <c r="A468">
        <v>467</v>
      </c>
      <c r="B468" s="1" t="d">
        <v>2023-07-30</v>
      </c>
      <c r="C468" t="s">
        <v>480</v>
      </c>
      <c r="D468" t="s">
        <v>13</v>
      </c>
      <c r="E468" s="2">
        <v>53</v>
      </c>
      <c r="F468" t="s">
        <v>16</v>
      </c>
      <c r="G468" s="2">
        <v>3</v>
      </c>
      <c r="H468" s="15">
        <v>50</v>
      </c>
      <c r="I468" s="14">
        <v>150</v>
      </c>
    </row>
    <row r="469" spans="1:9" x14ac:dyDescent="0.25">
      <c r="A469">
        <v>468</v>
      </c>
      <c r="B469" s="1" t="d">
        <v>2023-12-09</v>
      </c>
      <c r="C469" t="s">
        <v>481</v>
      </c>
      <c r="D469" t="s">
        <v>10</v>
      </c>
      <c r="E469" s="2">
        <v>40</v>
      </c>
      <c r="F469" t="s">
        <v>16</v>
      </c>
      <c r="G469" s="2">
        <v>1</v>
      </c>
      <c r="H469" s="15">
        <v>25</v>
      </c>
      <c r="I469" s="14">
        <v>25</v>
      </c>
    </row>
    <row r="470" spans="1:9" x14ac:dyDescent="0.25">
      <c r="A470">
        <v>469</v>
      </c>
      <c r="B470" s="1" t="d">
        <v>2023-05-08</v>
      </c>
      <c r="C470" t="s">
        <v>482</v>
      </c>
      <c r="D470" t="s">
        <v>10</v>
      </c>
      <c r="E470" s="2">
        <v>18</v>
      </c>
      <c r="F470" t="s">
        <v>11</v>
      </c>
      <c r="G470" s="2">
        <v>3</v>
      </c>
      <c r="H470" s="15">
        <v>25</v>
      </c>
      <c r="I470" s="14">
        <v>75</v>
      </c>
    </row>
    <row r="471" spans="1:9" x14ac:dyDescent="0.25">
      <c r="A471">
        <v>470</v>
      </c>
      <c r="B471" s="1" t="d">
        <v>2023-05-17</v>
      </c>
      <c r="C471" t="s">
        <v>483</v>
      </c>
      <c r="D471" t="s">
        <v>13</v>
      </c>
      <c r="E471" s="2">
        <v>57</v>
      </c>
      <c r="F471" t="s">
        <v>14</v>
      </c>
      <c r="G471" s="2">
        <v>2</v>
      </c>
      <c r="H471" s="15">
        <v>500</v>
      </c>
      <c r="I471" s="14">
        <v>1000</v>
      </c>
    </row>
    <row r="472" spans="1:9" x14ac:dyDescent="0.25">
      <c r="A472">
        <v>471</v>
      </c>
      <c r="B472" s="1" t="d">
        <v>2023-03-23</v>
      </c>
      <c r="C472" t="s">
        <v>484</v>
      </c>
      <c r="D472" t="s">
        <v>10</v>
      </c>
      <c r="E472" s="2">
        <v>32</v>
      </c>
      <c r="F472" t="s">
        <v>14</v>
      </c>
      <c r="G472" s="2">
        <v>3</v>
      </c>
      <c r="H472" s="15">
        <v>50</v>
      </c>
      <c r="I472" s="14">
        <v>150</v>
      </c>
    </row>
    <row r="473" spans="1:9" x14ac:dyDescent="0.25">
      <c r="A473">
        <v>472</v>
      </c>
      <c r="B473" s="1" t="d">
        <v>2023-12-26</v>
      </c>
      <c r="C473" t="s">
        <v>485</v>
      </c>
      <c r="D473" t="s">
        <v>13</v>
      </c>
      <c r="E473" s="2">
        <v>38</v>
      </c>
      <c r="F473" t="s">
        <v>11</v>
      </c>
      <c r="G473" s="2">
        <v>3</v>
      </c>
      <c r="H473" s="15">
        <v>300</v>
      </c>
      <c r="I473" s="14">
        <v>900</v>
      </c>
    </row>
    <row r="474" spans="1:9" x14ac:dyDescent="0.25">
      <c r="A474">
        <v>473</v>
      </c>
      <c r="B474" s="1" t="d">
        <v>2023-02-25</v>
      </c>
      <c r="C474" t="s">
        <v>486</v>
      </c>
      <c r="D474" t="s">
        <v>10</v>
      </c>
      <c r="E474" s="2">
        <v>64</v>
      </c>
      <c r="F474" t="s">
        <v>11</v>
      </c>
      <c r="G474" s="2">
        <v>1</v>
      </c>
      <c r="H474" s="15">
        <v>50</v>
      </c>
      <c r="I474" s="14">
        <v>50</v>
      </c>
    </row>
    <row r="475" spans="1:9" x14ac:dyDescent="0.25">
      <c r="A475">
        <v>474</v>
      </c>
      <c r="B475" s="1" t="d">
        <v>2023-07-15</v>
      </c>
      <c r="C475" t="s">
        <v>487</v>
      </c>
      <c r="D475" t="s">
        <v>13</v>
      </c>
      <c r="E475" s="2">
        <v>26</v>
      </c>
      <c r="F475" t="s">
        <v>14</v>
      </c>
      <c r="G475" s="2">
        <v>3</v>
      </c>
      <c r="H475" s="15">
        <v>500</v>
      </c>
      <c r="I475" s="14">
        <v>1500</v>
      </c>
    </row>
    <row r="476" spans="1:9" x14ac:dyDescent="0.25">
      <c r="A476">
        <v>475</v>
      </c>
      <c r="B476" s="1" t="d">
        <v>2023-01-20</v>
      </c>
      <c r="C476" t="s">
        <v>488</v>
      </c>
      <c r="D476" t="s">
        <v>10</v>
      </c>
      <c r="E476" s="2">
        <v>26</v>
      </c>
      <c r="F476" t="s">
        <v>14</v>
      </c>
      <c r="G476" s="2">
        <v>3</v>
      </c>
      <c r="H476" s="15">
        <v>25</v>
      </c>
      <c r="I476" s="14">
        <v>75</v>
      </c>
    </row>
    <row r="477" spans="1:9" x14ac:dyDescent="0.25">
      <c r="A477">
        <v>476</v>
      </c>
      <c r="B477" s="1" t="d">
        <v>2023-08-29</v>
      </c>
      <c r="C477" t="s">
        <v>489</v>
      </c>
      <c r="D477" t="s">
        <v>13</v>
      </c>
      <c r="E477" s="2">
        <v>27</v>
      </c>
      <c r="F477" t="s">
        <v>14</v>
      </c>
      <c r="G477" s="2">
        <v>4</v>
      </c>
      <c r="H477" s="15">
        <v>500</v>
      </c>
      <c r="I477" s="14">
        <v>2000</v>
      </c>
    </row>
    <row r="478" spans="1:9" x14ac:dyDescent="0.25">
      <c r="A478">
        <v>477</v>
      </c>
      <c r="B478" s="1" t="d">
        <v>2023-04-24</v>
      </c>
      <c r="C478" t="s">
        <v>490</v>
      </c>
      <c r="D478" t="s">
        <v>10</v>
      </c>
      <c r="E478" s="2">
        <v>43</v>
      </c>
      <c r="F478" t="s">
        <v>14</v>
      </c>
      <c r="G478" s="2">
        <v>4</v>
      </c>
      <c r="H478" s="15">
        <v>30</v>
      </c>
      <c r="I478" s="14">
        <v>120</v>
      </c>
    </row>
    <row r="479" spans="1:9" x14ac:dyDescent="0.25">
      <c r="A479">
        <v>478</v>
      </c>
      <c r="B479" s="1" t="d">
        <v>2023-04-13</v>
      </c>
      <c r="C479" t="s">
        <v>491</v>
      </c>
      <c r="D479" t="s">
        <v>13</v>
      </c>
      <c r="E479" s="2">
        <v>58</v>
      </c>
      <c r="F479" t="s">
        <v>14</v>
      </c>
      <c r="G479" s="2">
        <v>2</v>
      </c>
      <c r="H479" s="15">
        <v>30</v>
      </c>
      <c r="I479" s="14">
        <v>60</v>
      </c>
    </row>
    <row r="480" spans="1:9" x14ac:dyDescent="0.25">
      <c r="A480">
        <v>479</v>
      </c>
      <c r="B480" s="1" t="d">
        <v>2023-08-24</v>
      </c>
      <c r="C480" t="s">
        <v>492</v>
      </c>
      <c r="D480" t="s">
        <v>10</v>
      </c>
      <c r="E480" s="2">
        <v>52</v>
      </c>
      <c r="F480" t="s">
        <v>16</v>
      </c>
      <c r="G480" s="2">
        <v>4</v>
      </c>
      <c r="H480" s="15">
        <v>300</v>
      </c>
      <c r="I480" s="14">
        <v>1200</v>
      </c>
    </row>
    <row r="481" spans="1:9" x14ac:dyDescent="0.25">
      <c r="A481">
        <v>480</v>
      </c>
      <c r="B481" s="1" t="d">
        <v>2023-06-29</v>
      </c>
      <c r="C481" t="s">
        <v>493</v>
      </c>
      <c r="D481" t="s">
        <v>13</v>
      </c>
      <c r="E481" s="2">
        <v>42</v>
      </c>
      <c r="F481" t="s">
        <v>11</v>
      </c>
      <c r="G481" s="2">
        <v>4</v>
      </c>
      <c r="H481" s="15">
        <v>500</v>
      </c>
      <c r="I481" s="14">
        <v>2000</v>
      </c>
    </row>
    <row r="482" spans="1:9" x14ac:dyDescent="0.25">
      <c r="A482">
        <v>481</v>
      </c>
      <c r="B482" s="1" t="d">
        <v>2023-06-06</v>
      </c>
      <c r="C482" t="s">
        <v>494</v>
      </c>
      <c r="D482" t="s">
        <v>13</v>
      </c>
      <c r="E482" s="2">
        <v>43</v>
      </c>
      <c r="F482" t="s">
        <v>16</v>
      </c>
      <c r="G482" s="2">
        <v>4</v>
      </c>
      <c r="H482" s="15">
        <v>300</v>
      </c>
      <c r="I482" s="14">
        <v>1200</v>
      </c>
    </row>
    <row r="483" spans="1:9" x14ac:dyDescent="0.25">
      <c r="A483">
        <v>482</v>
      </c>
      <c r="B483" s="1" t="d">
        <v>2023-04-27</v>
      </c>
      <c r="C483" t="s">
        <v>495</v>
      </c>
      <c r="D483" t="s">
        <v>13</v>
      </c>
      <c r="E483" s="2">
        <v>28</v>
      </c>
      <c r="F483" t="s">
        <v>14</v>
      </c>
      <c r="G483" s="2">
        <v>4</v>
      </c>
      <c r="H483" s="15">
        <v>300</v>
      </c>
      <c r="I483" s="14">
        <v>1200</v>
      </c>
    </row>
    <row r="484" spans="1:9" x14ac:dyDescent="0.25">
      <c r="A484">
        <v>483</v>
      </c>
      <c r="B484" s="1" t="d">
        <v>2023-04-25</v>
      </c>
      <c r="C484" t="s">
        <v>496</v>
      </c>
      <c r="D484" t="s">
        <v>10</v>
      </c>
      <c r="E484" s="2">
        <v>55</v>
      </c>
      <c r="F484" t="s">
        <v>14</v>
      </c>
      <c r="G484" s="2">
        <v>1</v>
      </c>
      <c r="H484" s="15">
        <v>30</v>
      </c>
      <c r="I484" s="14">
        <v>30</v>
      </c>
    </row>
    <row r="485" spans="1:9" x14ac:dyDescent="0.25">
      <c r="A485">
        <v>484</v>
      </c>
      <c r="B485" s="1" t="d">
        <v>2023-01-13</v>
      </c>
      <c r="C485" t="s">
        <v>497</v>
      </c>
      <c r="D485" t="s">
        <v>13</v>
      </c>
      <c r="E485" s="2">
        <v>19</v>
      </c>
      <c r="F485" t="s">
        <v>14</v>
      </c>
      <c r="G485" s="2">
        <v>4</v>
      </c>
      <c r="H485" s="15">
        <v>300</v>
      </c>
      <c r="I485" s="14">
        <v>1200</v>
      </c>
    </row>
    <row r="486" spans="1:9" x14ac:dyDescent="0.25">
      <c r="A486">
        <v>485</v>
      </c>
      <c r="B486" s="1" t="d">
        <v>2023-12-04</v>
      </c>
      <c r="C486" t="s">
        <v>498</v>
      </c>
      <c r="D486" t="s">
        <v>10</v>
      </c>
      <c r="E486" s="2">
        <v>24</v>
      </c>
      <c r="F486" t="s">
        <v>16</v>
      </c>
      <c r="G486" s="2">
        <v>1</v>
      </c>
      <c r="H486" s="15">
        <v>30</v>
      </c>
      <c r="I486" s="14">
        <v>30</v>
      </c>
    </row>
    <row r="487" spans="1:9" x14ac:dyDescent="0.25">
      <c r="A487">
        <v>486</v>
      </c>
      <c r="B487" s="1" t="d">
        <v>2023-04-09</v>
      </c>
      <c r="C487" t="s">
        <v>499</v>
      </c>
      <c r="D487" t="s">
        <v>13</v>
      </c>
      <c r="E487" s="2">
        <v>35</v>
      </c>
      <c r="F487" t="s">
        <v>16</v>
      </c>
      <c r="G487" s="2">
        <v>1</v>
      </c>
      <c r="H487" s="15">
        <v>25</v>
      </c>
      <c r="I487" s="14">
        <v>25</v>
      </c>
    </row>
    <row r="488" spans="1:9" x14ac:dyDescent="0.25">
      <c r="A488">
        <v>487</v>
      </c>
      <c r="B488" s="1" t="d">
        <v>2023-07-24</v>
      </c>
      <c r="C488" t="s">
        <v>500</v>
      </c>
      <c r="D488" t="s">
        <v>10</v>
      </c>
      <c r="E488" s="2">
        <v>44</v>
      </c>
      <c r="F488" t="s">
        <v>14</v>
      </c>
      <c r="G488" s="2">
        <v>4</v>
      </c>
      <c r="H488" s="15">
        <v>500</v>
      </c>
      <c r="I488" s="14">
        <v>2000</v>
      </c>
    </row>
    <row r="489" spans="1:9" x14ac:dyDescent="0.25">
      <c r="A489">
        <v>488</v>
      </c>
      <c r="B489" s="1" t="d">
        <v>2023-06-18</v>
      </c>
      <c r="C489" t="s">
        <v>501</v>
      </c>
      <c r="D489" t="s">
        <v>13</v>
      </c>
      <c r="E489" s="2">
        <v>51</v>
      </c>
      <c r="F489" t="s">
        <v>16</v>
      </c>
      <c r="G489" s="2">
        <v>3</v>
      </c>
      <c r="H489" s="15">
        <v>300</v>
      </c>
      <c r="I489" s="14">
        <v>900</v>
      </c>
    </row>
    <row r="490" spans="1:9" x14ac:dyDescent="0.25">
      <c r="A490">
        <v>489</v>
      </c>
      <c r="B490" s="1" t="d">
        <v>2023-05-23</v>
      </c>
      <c r="C490" t="s">
        <v>502</v>
      </c>
      <c r="D490" t="s">
        <v>10</v>
      </c>
      <c r="E490" s="2">
        <v>44</v>
      </c>
      <c r="F490" t="s">
        <v>16</v>
      </c>
      <c r="G490" s="2">
        <v>1</v>
      </c>
      <c r="H490" s="15">
        <v>30</v>
      </c>
      <c r="I490" s="14">
        <v>30</v>
      </c>
    </row>
    <row r="491" spans="1:9" x14ac:dyDescent="0.25">
      <c r="A491">
        <v>490</v>
      </c>
      <c r="B491" s="1" t="d">
        <v>2023-02-05</v>
      </c>
      <c r="C491" t="s">
        <v>503</v>
      </c>
      <c r="D491" t="s">
        <v>10</v>
      </c>
      <c r="E491" s="2">
        <v>34</v>
      </c>
      <c r="F491" t="s">
        <v>14</v>
      </c>
      <c r="G491" s="2">
        <v>3</v>
      </c>
      <c r="H491" s="15">
        <v>50</v>
      </c>
      <c r="I491" s="14">
        <v>150</v>
      </c>
    </row>
    <row r="492" spans="1:9" x14ac:dyDescent="0.25">
      <c r="A492">
        <v>491</v>
      </c>
      <c r="B492" s="1" t="d">
        <v>2023-05-23</v>
      </c>
      <c r="C492" t="s">
        <v>504</v>
      </c>
      <c r="D492" t="s">
        <v>13</v>
      </c>
      <c r="E492" s="2">
        <v>60</v>
      </c>
      <c r="F492" t="s">
        <v>16</v>
      </c>
      <c r="G492" s="2">
        <v>3</v>
      </c>
      <c r="H492" s="15">
        <v>300</v>
      </c>
      <c r="I492" s="14">
        <v>900</v>
      </c>
    </row>
    <row r="493" spans="1:9" x14ac:dyDescent="0.25">
      <c r="A493">
        <v>492</v>
      </c>
      <c r="B493" s="1" t="d">
        <v>2023-06-29</v>
      </c>
      <c r="C493" t="s">
        <v>505</v>
      </c>
      <c r="D493" t="s">
        <v>10</v>
      </c>
      <c r="E493" s="2">
        <v>61</v>
      </c>
      <c r="F493" t="s">
        <v>11</v>
      </c>
      <c r="G493" s="2">
        <v>4</v>
      </c>
      <c r="H493" s="15">
        <v>25</v>
      </c>
      <c r="I493" s="14">
        <v>100</v>
      </c>
    </row>
    <row r="494" spans="1:9" x14ac:dyDescent="0.25">
      <c r="A494">
        <v>493</v>
      </c>
      <c r="B494" s="1" t="d">
        <v>2023-11-25</v>
      </c>
      <c r="C494" t="s">
        <v>506</v>
      </c>
      <c r="D494" t="s">
        <v>10</v>
      </c>
      <c r="E494" s="2">
        <v>41</v>
      </c>
      <c r="F494" t="s">
        <v>11</v>
      </c>
      <c r="G494" s="2">
        <v>2</v>
      </c>
      <c r="H494" s="15">
        <v>25</v>
      </c>
      <c r="I494" s="14">
        <v>50</v>
      </c>
    </row>
    <row r="495" spans="1:9" x14ac:dyDescent="0.25">
      <c r="A495">
        <v>494</v>
      </c>
      <c r="B495" s="1" t="d">
        <v>2023-09-18</v>
      </c>
      <c r="C495" t="s">
        <v>507</v>
      </c>
      <c r="D495" t="s">
        <v>13</v>
      </c>
      <c r="E495" s="2">
        <v>42</v>
      </c>
      <c r="F495" t="s">
        <v>11</v>
      </c>
      <c r="G495" s="2">
        <v>4</v>
      </c>
      <c r="H495" s="15">
        <v>50</v>
      </c>
      <c r="I495" s="14">
        <v>200</v>
      </c>
    </row>
    <row r="496" spans="1:9" x14ac:dyDescent="0.25">
      <c r="A496">
        <v>495</v>
      </c>
      <c r="B496" s="1" t="d">
        <v>2023-07-24</v>
      </c>
      <c r="C496" t="s">
        <v>508</v>
      </c>
      <c r="D496" t="s">
        <v>10</v>
      </c>
      <c r="E496" s="2">
        <v>24</v>
      </c>
      <c r="F496" t="s">
        <v>11</v>
      </c>
      <c r="G496" s="2">
        <v>2</v>
      </c>
      <c r="H496" s="15">
        <v>30</v>
      </c>
      <c r="I496" s="14">
        <v>60</v>
      </c>
    </row>
    <row r="497" spans="1:9" x14ac:dyDescent="0.25">
      <c r="A497">
        <v>496</v>
      </c>
      <c r="B497" s="1" t="d">
        <v>2023-12-14</v>
      </c>
      <c r="C497" t="s">
        <v>509</v>
      </c>
      <c r="D497" t="s">
        <v>10</v>
      </c>
      <c r="E497" s="2">
        <v>23</v>
      </c>
      <c r="F497" t="s">
        <v>14</v>
      </c>
      <c r="G497" s="2">
        <v>2</v>
      </c>
      <c r="H497" s="15">
        <v>300</v>
      </c>
      <c r="I497" s="14">
        <v>600</v>
      </c>
    </row>
    <row r="498" spans="1:9" x14ac:dyDescent="0.25">
      <c r="A498">
        <v>497</v>
      </c>
      <c r="B498" s="1" t="d">
        <v>2023-10-02</v>
      </c>
      <c r="C498" t="s">
        <v>510</v>
      </c>
      <c r="D498" t="s">
        <v>10</v>
      </c>
      <c r="E498" s="2">
        <v>41</v>
      </c>
      <c r="F498" t="s">
        <v>14</v>
      </c>
      <c r="G498" s="2">
        <v>4</v>
      </c>
      <c r="H498" s="15">
        <v>30</v>
      </c>
      <c r="I498" s="14">
        <v>120</v>
      </c>
    </row>
    <row r="499" spans="1:9" x14ac:dyDescent="0.25">
      <c r="A499">
        <v>498</v>
      </c>
      <c r="B499" s="1" t="d">
        <v>2023-06-19</v>
      </c>
      <c r="C499" t="s">
        <v>511</v>
      </c>
      <c r="D499" t="s">
        <v>13</v>
      </c>
      <c r="E499" s="2">
        <v>50</v>
      </c>
      <c r="F499" t="s">
        <v>14</v>
      </c>
      <c r="G499" s="2">
        <v>4</v>
      </c>
      <c r="H499" s="15">
        <v>25</v>
      </c>
      <c r="I499" s="14">
        <v>100</v>
      </c>
    </row>
    <row r="500" spans="1:9" x14ac:dyDescent="0.25">
      <c r="A500">
        <v>499</v>
      </c>
      <c r="B500" s="1" t="d">
        <v>2023-01-15</v>
      </c>
      <c r="C500" t="s">
        <v>512</v>
      </c>
      <c r="D500" t="s">
        <v>10</v>
      </c>
      <c r="E500" s="2">
        <v>46</v>
      </c>
      <c r="F500" t="s">
        <v>11</v>
      </c>
      <c r="G500" s="2">
        <v>2</v>
      </c>
      <c r="H500" s="15">
        <v>30</v>
      </c>
      <c r="I500" s="14">
        <v>60</v>
      </c>
    </row>
    <row r="501" spans="1:9" x14ac:dyDescent="0.25">
      <c r="A501">
        <v>500</v>
      </c>
      <c r="B501" s="1" t="d">
        <v>2023-03-01</v>
      </c>
      <c r="C501" t="s">
        <v>513</v>
      </c>
      <c r="D501" t="s">
        <v>13</v>
      </c>
      <c r="E501" s="2">
        <v>60</v>
      </c>
      <c r="F501" t="s">
        <v>11</v>
      </c>
      <c r="G501" s="2">
        <v>4</v>
      </c>
      <c r="H501" s="15">
        <v>25</v>
      </c>
      <c r="I501" s="14">
        <v>100</v>
      </c>
    </row>
    <row r="502" spans="1:9" x14ac:dyDescent="0.25">
      <c r="A502">
        <v>501</v>
      </c>
      <c r="B502" s="1" t="d">
        <v>2023-05-14</v>
      </c>
      <c r="C502" t="s">
        <v>514</v>
      </c>
      <c r="D502" t="s">
        <v>10</v>
      </c>
      <c r="E502" s="2">
        <v>39</v>
      </c>
      <c r="F502" t="s">
        <v>16</v>
      </c>
      <c r="G502" s="2">
        <v>2</v>
      </c>
      <c r="H502" s="15">
        <v>30</v>
      </c>
      <c r="I502" s="14">
        <v>60</v>
      </c>
    </row>
    <row r="503" spans="1:9" x14ac:dyDescent="0.25">
      <c r="A503">
        <v>502</v>
      </c>
      <c r="B503" s="1" t="d">
        <v>2023-04-02</v>
      </c>
      <c r="C503" t="s">
        <v>515</v>
      </c>
      <c r="D503" t="s">
        <v>10</v>
      </c>
      <c r="E503" s="2">
        <v>43</v>
      </c>
      <c r="F503" t="s">
        <v>16</v>
      </c>
      <c r="G503" s="2">
        <v>3</v>
      </c>
      <c r="H503" s="15">
        <v>50</v>
      </c>
      <c r="I503" s="14">
        <v>150</v>
      </c>
    </row>
    <row r="504" spans="1:9" x14ac:dyDescent="0.25">
      <c r="A504">
        <v>503</v>
      </c>
      <c r="B504" s="1" t="d">
        <v>2023-10-25</v>
      </c>
      <c r="C504" t="s">
        <v>516</v>
      </c>
      <c r="D504" t="s">
        <v>10</v>
      </c>
      <c r="E504" s="2">
        <v>45</v>
      </c>
      <c r="F504" t="s">
        <v>11</v>
      </c>
      <c r="G504" s="2">
        <v>4</v>
      </c>
      <c r="H504" s="15">
        <v>500</v>
      </c>
      <c r="I504" s="14">
        <v>2000</v>
      </c>
    </row>
    <row r="505" spans="1:9" x14ac:dyDescent="0.25">
      <c r="A505">
        <v>504</v>
      </c>
      <c r="B505" s="1" t="d">
        <v>2023-05-16</v>
      </c>
      <c r="C505" t="s">
        <v>517</v>
      </c>
      <c r="D505" t="s">
        <v>13</v>
      </c>
      <c r="E505" s="2">
        <v>38</v>
      </c>
      <c r="F505" t="s">
        <v>11</v>
      </c>
      <c r="G505" s="2">
        <v>3</v>
      </c>
      <c r="H505" s="15">
        <v>50</v>
      </c>
      <c r="I505" s="14">
        <v>150</v>
      </c>
    </row>
    <row r="506" spans="1:9" x14ac:dyDescent="0.25">
      <c r="A506">
        <v>505</v>
      </c>
      <c r="B506" s="1" t="d">
        <v>2023-01-20</v>
      </c>
      <c r="C506" t="s">
        <v>518</v>
      </c>
      <c r="D506" t="s">
        <v>10</v>
      </c>
      <c r="E506" s="2">
        <v>24</v>
      </c>
      <c r="F506" t="s">
        <v>11</v>
      </c>
      <c r="G506" s="2">
        <v>1</v>
      </c>
      <c r="H506" s="15">
        <v>50</v>
      </c>
      <c r="I506" s="14">
        <v>50</v>
      </c>
    </row>
    <row r="507" spans="1:9" x14ac:dyDescent="0.25">
      <c r="A507">
        <v>506</v>
      </c>
      <c r="B507" s="1" t="d">
        <v>2023-02-25</v>
      </c>
      <c r="C507" t="s">
        <v>519</v>
      </c>
      <c r="D507" t="s">
        <v>10</v>
      </c>
      <c r="E507" s="2">
        <v>34</v>
      </c>
      <c r="F507" t="s">
        <v>11</v>
      </c>
      <c r="G507" s="2">
        <v>3</v>
      </c>
      <c r="H507" s="15">
        <v>500</v>
      </c>
      <c r="I507" s="14">
        <v>1500</v>
      </c>
    </row>
    <row r="508" spans="1:9" x14ac:dyDescent="0.25">
      <c r="A508">
        <v>507</v>
      </c>
      <c r="B508" s="1" t="d">
        <v>2023-11-02</v>
      </c>
      <c r="C508" t="s">
        <v>520</v>
      </c>
      <c r="D508" t="s">
        <v>13</v>
      </c>
      <c r="E508" s="2">
        <v>37</v>
      </c>
      <c r="F508" t="s">
        <v>16</v>
      </c>
      <c r="G508" s="2">
        <v>3</v>
      </c>
      <c r="H508" s="15">
        <v>500</v>
      </c>
      <c r="I508" s="14">
        <v>1500</v>
      </c>
    </row>
    <row r="509" spans="1:9" x14ac:dyDescent="0.25">
      <c r="A509">
        <v>508</v>
      </c>
      <c r="B509" s="1" t="d">
        <v>2023-08-11</v>
      </c>
      <c r="C509" t="s">
        <v>521</v>
      </c>
      <c r="D509" t="s">
        <v>10</v>
      </c>
      <c r="E509" s="2">
        <v>58</v>
      </c>
      <c r="F509" t="s">
        <v>11</v>
      </c>
      <c r="G509" s="2">
        <v>2</v>
      </c>
      <c r="H509" s="15">
        <v>300</v>
      </c>
      <c r="I509" s="14">
        <v>600</v>
      </c>
    </row>
    <row r="510" spans="1:9" x14ac:dyDescent="0.25">
      <c r="A510">
        <v>509</v>
      </c>
      <c r="B510" s="1" t="d">
        <v>2023-06-26</v>
      </c>
      <c r="C510" t="s">
        <v>522</v>
      </c>
      <c r="D510" t="s">
        <v>13</v>
      </c>
      <c r="E510" s="2">
        <v>37</v>
      </c>
      <c r="F510" t="s">
        <v>16</v>
      </c>
      <c r="G510" s="2">
        <v>3</v>
      </c>
      <c r="H510" s="15">
        <v>300</v>
      </c>
      <c r="I510" s="14">
        <v>900</v>
      </c>
    </row>
    <row r="511" spans="1:9" x14ac:dyDescent="0.25">
      <c r="A511">
        <v>510</v>
      </c>
      <c r="B511" s="1" t="d">
        <v>2023-06-10</v>
      </c>
      <c r="C511" t="s">
        <v>523</v>
      </c>
      <c r="D511" t="s">
        <v>13</v>
      </c>
      <c r="E511" s="2">
        <v>39</v>
      </c>
      <c r="F511" t="s">
        <v>11</v>
      </c>
      <c r="G511" s="2">
        <v>4</v>
      </c>
      <c r="H511" s="15">
        <v>50</v>
      </c>
      <c r="I511" s="14">
        <v>200</v>
      </c>
    </row>
    <row r="512" spans="1:9" x14ac:dyDescent="0.25">
      <c r="A512">
        <v>511</v>
      </c>
      <c r="B512" s="1" t="d">
        <v>2023-08-12</v>
      </c>
      <c r="C512" t="s">
        <v>524</v>
      </c>
      <c r="D512" t="s">
        <v>10</v>
      </c>
      <c r="E512" s="2">
        <v>45</v>
      </c>
      <c r="F512" t="s">
        <v>11</v>
      </c>
      <c r="G512" s="2">
        <v>2</v>
      </c>
      <c r="H512" s="15">
        <v>50</v>
      </c>
      <c r="I512" s="14">
        <v>100</v>
      </c>
    </row>
    <row r="513" spans="1:9" x14ac:dyDescent="0.25">
      <c r="A513">
        <v>512</v>
      </c>
      <c r="B513" s="1" t="d">
        <v>2023-11-07</v>
      </c>
      <c r="C513" t="s">
        <v>525</v>
      </c>
      <c r="D513" t="s">
        <v>13</v>
      </c>
      <c r="E513" s="2">
        <v>57</v>
      </c>
      <c r="F513" t="s">
        <v>11</v>
      </c>
      <c r="G513" s="2">
        <v>1</v>
      </c>
      <c r="H513" s="15">
        <v>25</v>
      </c>
      <c r="I513" s="14">
        <v>25</v>
      </c>
    </row>
    <row r="514" spans="1:9" x14ac:dyDescent="0.25">
      <c r="A514">
        <v>513</v>
      </c>
      <c r="B514" s="1" t="d">
        <v>2023-09-19</v>
      </c>
      <c r="C514" t="s">
        <v>526</v>
      </c>
      <c r="D514" t="s">
        <v>10</v>
      </c>
      <c r="E514" s="2">
        <v>24</v>
      </c>
      <c r="F514" t="s">
        <v>16</v>
      </c>
      <c r="G514" s="2">
        <v>4</v>
      </c>
      <c r="H514" s="15">
        <v>25</v>
      </c>
      <c r="I514" s="14">
        <v>100</v>
      </c>
    </row>
    <row r="515" spans="1:9" x14ac:dyDescent="0.25">
      <c r="A515">
        <v>514</v>
      </c>
      <c r="B515" s="1" t="d">
        <v>2023-03-01</v>
      </c>
      <c r="C515" t="s">
        <v>527</v>
      </c>
      <c r="D515" t="s">
        <v>13</v>
      </c>
      <c r="E515" s="2">
        <v>18</v>
      </c>
      <c r="F515" t="s">
        <v>16</v>
      </c>
      <c r="G515" s="2">
        <v>1</v>
      </c>
      <c r="H515" s="15">
        <v>300</v>
      </c>
      <c r="I515" s="14">
        <v>300</v>
      </c>
    </row>
    <row r="516" spans="1:9" x14ac:dyDescent="0.25">
      <c r="A516">
        <v>515</v>
      </c>
      <c r="B516" s="1" t="d">
        <v>2023-07-17</v>
      </c>
      <c r="C516" t="s">
        <v>528</v>
      </c>
      <c r="D516" t="s">
        <v>13</v>
      </c>
      <c r="E516" s="2">
        <v>49</v>
      </c>
      <c r="F516" t="s">
        <v>14</v>
      </c>
      <c r="G516" s="2">
        <v>3</v>
      </c>
      <c r="H516" s="15">
        <v>300</v>
      </c>
      <c r="I516" s="14">
        <v>900</v>
      </c>
    </row>
    <row r="517" spans="1:9" x14ac:dyDescent="0.25">
      <c r="A517">
        <v>516</v>
      </c>
      <c r="B517" s="1" t="d">
        <v>2023-10-23</v>
      </c>
      <c r="C517" t="s">
        <v>529</v>
      </c>
      <c r="D517" t="s">
        <v>10</v>
      </c>
      <c r="E517" s="2">
        <v>30</v>
      </c>
      <c r="F517" t="s">
        <v>11</v>
      </c>
      <c r="G517" s="2">
        <v>4</v>
      </c>
      <c r="H517" s="15">
        <v>25</v>
      </c>
      <c r="I517" s="14">
        <v>100</v>
      </c>
    </row>
    <row r="518" spans="1:9" x14ac:dyDescent="0.25">
      <c r="A518">
        <v>517</v>
      </c>
      <c r="B518" s="1" t="d">
        <v>2023-04-08</v>
      </c>
      <c r="C518" t="s">
        <v>530</v>
      </c>
      <c r="D518" t="s">
        <v>13</v>
      </c>
      <c r="E518" s="2">
        <v>47</v>
      </c>
      <c r="F518" t="s">
        <v>14</v>
      </c>
      <c r="G518" s="2">
        <v>4</v>
      </c>
      <c r="H518" s="15">
        <v>25</v>
      </c>
      <c r="I518" s="14">
        <v>100</v>
      </c>
    </row>
    <row r="519" spans="1:9" x14ac:dyDescent="0.25">
      <c r="A519">
        <v>518</v>
      </c>
      <c r="B519" s="1" t="d">
        <v>2023-05-11</v>
      </c>
      <c r="C519" t="s">
        <v>531</v>
      </c>
      <c r="D519" t="s">
        <v>13</v>
      </c>
      <c r="E519" s="2">
        <v>40</v>
      </c>
      <c r="F519" t="s">
        <v>14</v>
      </c>
      <c r="G519" s="2">
        <v>1</v>
      </c>
      <c r="H519" s="15">
        <v>30</v>
      </c>
      <c r="I519" s="14">
        <v>30</v>
      </c>
    </row>
    <row r="520" spans="1:9" x14ac:dyDescent="0.25">
      <c r="A520">
        <v>519</v>
      </c>
      <c r="B520" s="1" t="d">
        <v>2023-01-23</v>
      </c>
      <c r="C520" t="s">
        <v>532</v>
      </c>
      <c r="D520" t="s">
        <v>13</v>
      </c>
      <c r="E520" s="2">
        <v>36</v>
      </c>
      <c r="F520" t="s">
        <v>16</v>
      </c>
      <c r="G520" s="2">
        <v>4</v>
      </c>
      <c r="H520" s="15">
        <v>30</v>
      </c>
      <c r="I520" s="14">
        <v>120</v>
      </c>
    </row>
    <row r="521" spans="1:9" x14ac:dyDescent="0.25">
      <c r="A521">
        <v>520</v>
      </c>
      <c r="B521" s="1" t="d">
        <v>2023-12-29</v>
      </c>
      <c r="C521" t="s">
        <v>533</v>
      </c>
      <c r="D521" t="s">
        <v>13</v>
      </c>
      <c r="E521" s="2">
        <v>49</v>
      </c>
      <c r="F521" t="s">
        <v>16</v>
      </c>
      <c r="G521" s="2">
        <v>4</v>
      </c>
      <c r="H521" s="15">
        <v>25</v>
      </c>
      <c r="I521" s="14">
        <v>100</v>
      </c>
    </row>
    <row r="522" spans="1:9" x14ac:dyDescent="0.25">
      <c r="A522">
        <v>521</v>
      </c>
      <c r="B522" s="1" t="d">
        <v>2023-08-12</v>
      </c>
      <c r="C522" t="s">
        <v>534</v>
      </c>
      <c r="D522" t="s">
        <v>13</v>
      </c>
      <c r="E522" s="2">
        <v>47</v>
      </c>
      <c r="F522" t="s">
        <v>14</v>
      </c>
      <c r="G522" s="2">
        <v>4</v>
      </c>
      <c r="H522" s="15">
        <v>30</v>
      </c>
      <c r="I522" s="14">
        <v>120</v>
      </c>
    </row>
    <row r="523" spans="1:9" x14ac:dyDescent="0.25">
      <c r="A523">
        <v>522</v>
      </c>
      <c r="B523" s="1" t="d">
        <v>2023-01-01</v>
      </c>
      <c r="C523" t="s">
        <v>535</v>
      </c>
      <c r="D523" t="s">
        <v>10</v>
      </c>
      <c r="E523" s="2">
        <v>46</v>
      </c>
      <c r="F523" t="s">
        <v>11</v>
      </c>
      <c r="G523" s="2">
        <v>3</v>
      </c>
      <c r="H523" s="15">
        <v>500</v>
      </c>
      <c r="I523" s="14">
        <v>1500</v>
      </c>
    </row>
    <row r="524" spans="1:9" x14ac:dyDescent="0.25">
      <c r="A524">
        <v>523</v>
      </c>
      <c r="B524" s="1" t="d">
        <v>2023-09-24</v>
      </c>
      <c r="C524" t="s">
        <v>536</v>
      </c>
      <c r="D524" t="s">
        <v>13</v>
      </c>
      <c r="E524" s="2">
        <v>62</v>
      </c>
      <c r="F524" t="s">
        <v>16</v>
      </c>
      <c r="G524" s="2">
        <v>1</v>
      </c>
      <c r="H524" s="15">
        <v>300</v>
      </c>
      <c r="I524" s="14">
        <v>300</v>
      </c>
    </row>
    <row r="525" spans="1:9" x14ac:dyDescent="0.25">
      <c r="A525">
        <v>524</v>
      </c>
      <c r="B525" s="1" t="d">
        <v>2023-10-03</v>
      </c>
      <c r="C525" t="s">
        <v>537</v>
      </c>
      <c r="D525" t="s">
        <v>10</v>
      </c>
      <c r="E525" s="2">
        <v>46</v>
      </c>
      <c r="F525" t="s">
        <v>11</v>
      </c>
      <c r="G525" s="2">
        <v>4</v>
      </c>
      <c r="H525" s="15">
        <v>300</v>
      </c>
      <c r="I525" s="14">
        <v>1200</v>
      </c>
    </row>
    <row r="526" spans="1:9" x14ac:dyDescent="0.25">
      <c r="A526">
        <v>525</v>
      </c>
      <c r="B526" s="1" t="d">
        <v>2023-12-18</v>
      </c>
      <c r="C526" t="s">
        <v>538</v>
      </c>
      <c r="D526" t="s">
        <v>13</v>
      </c>
      <c r="E526" s="2">
        <v>47</v>
      </c>
      <c r="F526" t="s">
        <v>11</v>
      </c>
      <c r="G526" s="2">
        <v>2</v>
      </c>
      <c r="H526" s="15">
        <v>25</v>
      </c>
      <c r="I526" s="14">
        <v>50</v>
      </c>
    </row>
    <row r="527" spans="1:9" x14ac:dyDescent="0.25">
      <c r="A527">
        <v>526</v>
      </c>
      <c r="B527" s="1" t="d">
        <v>2023-12-10</v>
      </c>
      <c r="C527" t="s">
        <v>539</v>
      </c>
      <c r="D527" t="s">
        <v>10</v>
      </c>
      <c r="E527" s="2">
        <v>33</v>
      </c>
      <c r="F527" t="s">
        <v>14</v>
      </c>
      <c r="G527" s="2">
        <v>2</v>
      </c>
      <c r="H527" s="15">
        <v>50</v>
      </c>
      <c r="I527" s="14">
        <v>100</v>
      </c>
    </row>
    <row r="528" spans="1:9" x14ac:dyDescent="0.25">
      <c r="A528">
        <v>527</v>
      </c>
      <c r="B528" s="1" t="d">
        <v>2023-04-11</v>
      </c>
      <c r="C528" t="s">
        <v>540</v>
      </c>
      <c r="D528" t="s">
        <v>10</v>
      </c>
      <c r="E528" s="2">
        <v>57</v>
      </c>
      <c r="F528" t="s">
        <v>14</v>
      </c>
      <c r="G528" s="2">
        <v>2</v>
      </c>
      <c r="H528" s="15">
        <v>25</v>
      </c>
      <c r="I528" s="14">
        <v>50</v>
      </c>
    </row>
    <row r="529" spans="1:9" x14ac:dyDescent="0.25">
      <c r="A529">
        <v>528</v>
      </c>
      <c r="B529" s="1" t="d">
        <v>2023-07-06</v>
      </c>
      <c r="C529" t="s">
        <v>541</v>
      </c>
      <c r="D529" t="s">
        <v>13</v>
      </c>
      <c r="E529" s="2">
        <v>36</v>
      </c>
      <c r="F529" t="s">
        <v>14</v>
      </c>
      <c r="G529" s="2">
        <v>2</v>
      </c>
      <c r="H529" s="15">
        <v>30</v>
      </c>
      <c r="I529" s="14">
        <v>60</v>
      </c>
    </row>
    <row r="530" spans="1:9" x14ac:dyDescent="0.25">
      <c r="A530">
        <v>529</v>
      </c>
      <c r="B530" s="1" t="d">
        <v>2023-08-09</v>
      </c>
      <c r="C530" t="s">
        <v>542</v>
      </c>
      <c r="D530" t="s">
        <v>13</v>
      </c>
      <c r="E530" s="2">
        <v>35</v>
      </c>
      <c r="F530" t="s">
        <v>14</v>
      </c>
      <c r="G530" s="2">
        <v>3</v>
      </c>
      <c r="H530" s="15">
        <v>50</v>
      </c>
      <c r="I530" s="14">
        <v>150</v>
      </c>
    </row>
    <row r="531" spans="1:9" x14ac:dyDescent="0.25">
      <c r="A531">
        <v>530</v>
      </c>
      <c r="B531" s="1" t="d">
        <v>2023-02-05</v>
      </c>
      <c r="C531" t="s">
        <v>543</v>
      </c>
      <c r="D531" t="s">
        <v>13</v>
      </c>
      <c r="E531" s="2">
        <v>18</v>
      </c>
      <c r="F531" t="s">
        <v>16</v>
      </c>
      <c r="G531" s="2">
        <v>4</v>
      </c>
      <c r="H531" s="15">
        <v>30</v>
      </c>
      <c r="I531" s="14">
        <v>120</v>
      </c>
    </row>
    <row r="532" spans="1:9" x14ac:dyDescent="0.25">
      <c r="A532">
        <v>531</v>
      </c>
      <c r="B532" s="1" t="d">
        <v>2023-12-07</v>
      </c>
      <c r="C532" t="s">
        <v>544</v>
      </c>
      <c r="D532" t="s">
        <v>10</v>
      </c>
      <c r="E532" s="2">
        <v>31</v>
      </c>
      <c r="F532" t="s">
        <v>16</v>
      </c>
      <c r="G532" s="2">
        <v>1</v>
      </c>
      <c r="H532" s="15">
        <v>500</v>
      </c>
      <c r="I532" s="14">
        <v>500</v>
      </c>
    </row>
    <row r="533" spans="1:9" x14ac:dyDescent="0.25">
      <c r="A533">
        <v>532</v>
      </c>
      <c r="B533" s="1" t="d">
        <v>2023-06-19</v>
      </c>
      <c r="C533" t="s">
        <v>545</v>
      </c>
      <c r="D533" t="s">
        <v>13</v>
      </c>
      <c r="E533" s="2">
        <v>64</v>
      </c>
      <c r="F533" t="s">
        <v>14</v>
      </c>
      <c r="G533" s="2">
        <v>4</v>
      </c>
      <c r="H533" s="15">
        <v>30</v>
      </c>
      <c r="I533" s="14">
        <v>120</v>
      </c>
    </row>
    <row r="534" spans="1:9" x14ac:dyDescent="0.25">
      <c r="A534">
        <v>533</v>
      </c>
      <c r="B534" s="1" t="d">
        <v>2023-11-16</v>
      </c>
      <c r="C534" t="s">
        <v>546</v>
      </c>
      <c r="D534" t="s">
        <v>10</v>
      </c>
      <c r="E534" s="2">
        <v>19</v>
      </c>
      <c r="F534" t="s">
        <v>16</v>
      </c>
      <c r="G534" s="2">
        <v>3</v>
      </c>
      <c r="H534" s="15">
        <v>500</v>
      </c>
      <c r="I534" s="14">
        <v>1500</v>
      </c>
    </row>
    <row r="535" spans="1:9" x14ac:dyDescent="0.25">
      <c r="A535">
        <v>534</v>
      </c>
      <c r="B535" s="1" t="d">
        <v>2023-06-10</v>
      </c>
      <c r="C535" t="s">
        <v>547</v>
      </c>
      <c r="D535" t="s">
        <v>10</v>
      </c>
      <c r="E535" s="2">
        <v>45</v>
      </c>
      <c r="F535" t="s">
        <v>14</v>
      </c>
      <c r="G535" s="2">
        <v>2</v>
      </c>
      <c r="H535" s="15">
        <v>500</v>
      </c>
      <c r="I535" s="14">
        <v>1000</v>
      </c>
    </row>
    <row r="536" spans="1:9" x14ac:dyDescent="0.25">
      <c r="A536">
        <v>535</v>
      </c>
      <c r="B536" s="1" t="d">
        <v>2023-12-06</v>
      </c>
      <c r="C536" t="s">
        <v>548</v>
      </c>
      <c r="D536" t="s">
        <v>10</v>
      </c>
      <c r="E536" s="2">
        <v>47</v>
      </c>
      <c r="F536" t="s">
        <v>11</v>
      </c>
      <c r="G536" s="2">
        <v>3</v>
      </c>
      <c r="H536" s="15">
        <v>30</v>
      </c>
      <c r="I536" s="14">
        <v>90</v>
      </c>
    </row>
    <row r="537" spans="1:9" x14ac:dyDescent="0.25">
      <c r="A537">
        <v>536</v>
      </c>
      <c r="B537" s="1" t="d">
        <v>2023-03-05</v>
      </c>
      <c r="C537" t="s">
        <v>549</v>
      </c>
      <c r="D537" t="s">
        <v>13</v>
      </c>
      <c r="E537" s="2">
        <v>55</v>
      </c>
      <c r="F537" t="s">
        <v>11</v>
      </c>
      <c r="G537" s="2">
        <v>4</v>
      </c>
      <c r="H537" s="15">
        <v>30</v>
      </c>
      <c r="I537" s="14">
        <v>120</v>
      </c>
    </row>
    <row r="538" spans="1:9" x14ac:dyDescent="0.25">
      <c r="A538">
        <v>537</v>
      </c>
      <c r="B538" s="1" t="d">
        <v>2023-06-03</v>
      </c>
      <c r="C538" t="s">
        <v>550</v>
      </c>
      <c r="D538" t="s">
        <v>13</v>
      </c>
      <c r="E538" s="2">
        <v>21</v>
      </c>
      <c r="F538" t="s">
        <v>11</v>
      </c>
      <c r="G538" s="2">
        <v>1</v>
      </c>
      <c r="H538" s="15">
        <v>500</v>
      </c>
      <c r="I538" s="14">
        <v>500</v>
      </c>
    </row>
    <row r="539" spans="1:9" x14ac:dyDescent="0.25">
      <c r="A539">
        <v>538</v>
      </c>
      <c r="B539" s="1" t="d">
        <v>2023-09-17</v>
      </c>
      <c r="C539" t="s">
        <v>551</v>
      </c>
      <c r="D539" t="s">
        <v>10</v>
      </c>
      <c r="E539" s="2">
        <v>18</v>
      </c>
      <c r="F539" t="s">
        <v>14</v>
      </c>
      <c r="G539" s="2">
        <v>3</v>
      </c>
      <c r="H539" s="15">
        <v>50</v>
      </c>
      <c r="I539" s="14">
        <v>150</v>
      </c>
    </row>
    <row r="540" spans="1:9" x14ac:dyDescent="0.25">
      <c r="A540">
        <v>539</v>
      </c>
      <c r="B540" s="1" t="d">
        <v>2023-06-08</v>
      </c>
      <c r="C540" t="s">
        <v>552</v>
      </c>
      <c r="D540" t="s">
        <v>10</v>
      </c>
      <c r="E540" s="2">
        <v>25</v>
      </c>
      <c r="F540" t="s">
        <v>11</v>
      </c>
      <c r="G540" s="2">
        <v>1</v>
      </c>
      <c r="H540" s="15">
        <v>500</v>
      </c>
      <c r="I540" s="14">
        <v>500</v>
      </c>
    </row>
    <row r="541" spans="1:9" x14ac:dyDescent="0.25">
      <c r="A541">
        <v>540</v>
      </c>
      <c r="B541" s="1" t="d">
        <v>2023-12-08</v>
      </c>
      <c r="C541" t="s">
        <v>553</v>
      </c>
      <c r="D541" t="s">
        <v>13</v>
      </c>
      <c r="E541" s="2">
        <v>46</v>
      </c>
      <c r="F541" t="s">
        <v>16</v>
      </c>
      <c r="G541" s="2">
        <v>3</v>
      </c>
      <c r="H541" s="15">
        <v>300</v>
      </c>
      <c r="I541" s="14">
        <v>900</v>
      </c>
    </row>
    <row r="542" spans="1:9" x14ac:dyDescent="0.25">
      <c r="A542">
        <v>541</v>
      </c>
      <c r="B542" s="1" t="d">
        <v>2023-07-29</v>
      </c>
      <c r="C542" t="s">
        <v>554</v>
      </c>
      <c r="D542" t="s">
        <v>10</v>
      </c>
      <c r="E542" s="2">
        <v>56</v>
      </c>
      <c r="F542" t="s">
        <v>11</v>
      </c>
      <c r="G542" s="2">
        <v>1</v>
      </c>
      <c r="H542" s="15">
        <v>500</v>
      </c>
      <c r="I542" s="14">
        <v>500</v>
      </c>
    </row>
    <row r="543" spans="1:9" x14ac:dyDescent="0.25">
      <c r="A543">
        <v>542</v>
      </c>
      <c r="B543" s="1" t="d">
        <v>2023-06-17</v>
      </c>
      <c r="C543" t="s">
        <v>555</v>
      </c>
      <c r="D543" t="s">
        <v>13</v>
      </c>
      <c r="E543" s="2">
        <v>20</v>
      </c>
      <c r="F543" t="s">
        <v>11</v>
      </c>
      <c r="G543" s="2">
        <v>1</v>
      </c>
      <c r="H543" s="15">
        <v>50</v>
      </c>
      <c r="I543" s="14">
        <v>50</v>
      </c>
    </row>
    <row r="544" spans="1:9" x14ac:dyDescent="0.25">
      <c r="A544">
        <v>543</v>
      </c>
      <c r="B544" s="1" t="d">
        <v>2023-07-26</v>
      </c>
      <c r="C544" t="s">
        <v>556</v>
      </c>
      <c r="D544" t="s">
        <v>10</v>
      </c>
      <c r="E544" s="2">
        <v>49</v>
      </c>
      <c r="F544" t="s">
        <v>11</v>
      </c>
      <c r="G544" s="2">
        <v>2</v>
      </c>
      <c r="H544" s="15">
        <v>300</v>
      </c>
      <c r="I544" s="14">
        <v>600</v>
      </c>
    </row>
    <row r="545" spans="1:9" x14ac:dyDescent="0.25">
      <c r="A545">
        <v>544</v>
      </c>
      <c r="B545" s="1" t="d">
        <v>2023-12-23</v>
      </c>
      <c r="C545" t="s">
        <v>557</v>
      </c>
      <c r="D545" t="s">
        <v>13</v>
      </c>
      <c r="E545" s="2">
        <v>27</v>
      </c>
      <c r="F545" t="s">
        <v>16</v>
      </c>
      <c r="G545" s="2">
        <v>1</v>
      </c>
      <c r="H545" s="15">
        <v>25</v>
      </c>
      <c r="I545" s="14">
        <v>25</v>
      </c>
    </row>
    <row r="546" spans="1:9" x14ac:dyDescent="0.25">
      <c r="A546">
        <v>545</v>
      </c>
      <c r="B546" s="1" t="d">
        <v>2023-06-01</v>
      </c>
      <c r="C546" t="s">
        <v>558</v>
      </c>
      <c r="D546" t="s">
        <v>10</v>
      </c>
      <c r="E546" s="2">
        <v>27</v>
      </c>
      <c r="F546" t="s">
        <v>14</v>
      </c>
      <c r="G546" s="2">
        <v>2</v>
      </c>
      <c r="H546" s="15">
        <v>25</v>
      </c>
      <c r="I546" s="14">
        <v>50</v>
      </c>
    </row>
    <row r="547" spans="1:9" x14ac:dyDescent="0.25">
      <c r="A547">
        <v>546</v>
      </c>
      <c r="B547" s="1" t="d">
        <v>2023-10-11</v>
      </c>
      <c r="C547" t="s">
        <v>559</v>
      </c>
      <c r="D547" t="s">
        <v>13</v>
      </c>
      <c r="E547" s="2">
        <v>36</v>
      </c>
      <c r="F547" t="s">
        <v>16</v>
      </c>
      <c r="G547" s="2">
        <v>4</v>
      </c>
      <c r="H547" s="15">
        <v>50</v>
      </c>
      <c r="I547" s="14">
        <v>200</v>
      </c>
    </row>
    <row r="548" spans="1:9" x14ac:dyDescent="0.25">
      <c r="A548">
        <v>547</v>
      </c>
      <c r="B548" s="1" t="d">
        <v>2023-03-07</v>
      </c>
      <c r="C548" t="s">
        <v>560</v>
      </c>
      <c r="D548" t="s">
        <v>10</v>
      </c>
      <c r="E548" s="2">
        <v>63</v>
      </c>
      <c r="F548" t="s">
        <v>14</v>
      </c>
      <c r="G548" s="2">
        <v>4</v>
      </c>
      <c r="H548" s="15">
        <v>500</v>
      </c>
      <c r="I548" s="14">
        <v>2000</v>
      </c>
    </row>
    <row r="549" spans="1:9" x14ac:dyDescent="0.25">
      <c r="A549">
        <v>548</v>
      </c>
      <c r="B549" s="1" t="d">
        <v>2023-04-09</v>
      </c>
      <c r="C549" t="s">
        <v>561</v>
      </c>
      <c r="D549" t="s">
        <v>13</v>
      </c>
      <c r="E549" s="2">
        <v>51</v>
      </c>
      <c r="F549" t="s">
        <v>14</v>
      </c>
      <c r="G549" s="2">
        <v>2</v>
      </c>
      <c r="H549" s="15">
        <v>30</v>
      </c>
      <c r="I549" s="14">
        <v>60</v>
      </c>
    </row>
    <row r="550" spans="1:9" x14ac:dyDescent="0.25">
      <c r="A550">
        <v>549</v>
      </c>
      <c r="B550" s="1" t="d">
        <v>2023-08-04</v>
      </c>
      <c r="C550" t="s">
        <v>562</v>
      </c>
      <c r="D550" t="s">
        <v>13</v>
      </c>
      <c r="E550" s="2">
        <v>50</v>
      </c>
      <c r="F550" t="s">
        <v>11</v>
      </c>
      <c r="G550" s="2">
        <v>2</v>
      </c>
      <c r="H550" s="15">
        <v>50</v>
      </c>
      <c r="I550" s="14">
        <v>100</v>
      </c>
    </row>
    <row r="551" spans="1:9" x14ac:dyDescent="0.25">
      <c r="A551">
        <v>550</v>
      </c>
      <c r="B551" s="1" t="d">
        <v>2023-12-07</v>
      </c>
      <c r="C551" t="s">
        <v>563</v>
      </c>
      <c r="D551" t="s">
        <v>10</v>
      </c>
      <c r="E551" s="2">
        <v>40</v>
      </c>
      <c r="F551" t="s">
        <v>14</v>
      </c>
      <c r="G551" s="2">
        <v>3</v>
      </c>
      <c r="H551" s="15">
        <v>300</v>
      </c>
      <c r="I551" s="14">
        <v>900</v>
      </c>
    </row>
    <row r="552" spans="1:9" x14ac:dyDescent="0.25">
      <c r="A552">
        <v>551</v>
      </c>
      <c r="B552" s="1" t="d">
        <v>2023-07-14</v>
      </c>
      <c r="C552" t="s">
        <v>564</v>
      </c>
      <c r="D552" t="s">
        <v>10</v>
      </c>
      <c r="E552" s="2">
        <v>45</v>
      </c>
      <c r="F552" t="s">
        <v>16</v>
      </c>
      <c r="G552" s="2">
        <v>3</v>
      </c>
      <c r="H552" s="15">
        <v>300</v>
      </c>
      <c r="I552" s="14">
        <v>900</v>
      </c>
    </row>
    <row r="553" spans="1:9" x14ac:dyDescent="0.25">
      <c r="A553">
        <v>552</v>
      </c>
      <c r="B553" s="1" t="d">
        <v>2023-12-13</v>
      </c>
      <c r="C553" t="s">
        <v>565</v>
      </c>
      <c r="D553" t="s">
        <v>13</v>
      </c>
      <c r="E553" s="2">
        <v>49</v>
      </c>
      <c r="F553" t="s">
        <v>16</v>
      </c>
      <c r="G553" s="2">
        <v>3</v>
      </c>
      <c r="H553" s="15">
        <v>25</v>
      </c>
      <c r="I553" s="14">
        <v>75</v>
      </c>
    </row>
    <row r="554" spans="1:9" x14ac:dyDescent="0.25">
      <c r="A554">
        <v>553</v>
      </c>
      <c r="B554" s="1" t="d">
        <v>2023-03-31</v>
      </c>
      <c r="C554" t="s">
        <v>566</v>
      </c>
      <c r="D554" t="s">
        <v>10</v>
      </c>
      <c r="E554" s="2">
        <v>24</v>
      </c>
      <c r="F554" t="s">
        <v>14</v>
      </c>
      <c r="G554" s="2">
        <v>4</v>
      </c>
      <c r="H554" s="15">
        <v>300</v>
      </c>
      <c r="I554" s="14">
        <v>1200</v>
      </c>
    </row>
    <row r="555" spans="1:9" x14ac:dyDescent="0.25">
      <c r="A555">
        <v>554</v>
      </c>
      <c r="B555" s="1" t="d">
        <v>2023-11-12</v>
      </c>
      <c r="C555" t="s">
        <v>567</v>
      </c>
      <c r="D555" t="s">
        <v>13</v>
      </c>
      <c r="E555" s="2">
        <v>46</v>
      </c>
      <c r="F555" t="s">
        <v>11</v>
      </c>
      <c r="G555" s="2">
        <v>3</v>
      </c>
      <c r="H555" s="15">
        <v>50</v>
      </c>
      <c r="I555" s="14">
        <v>150</v>
      </c>
    </row>
    <row r="556" spans="1:9" x14ac:dyDescent="0.25">
      <c r="A556">
        <v>555</v>
      </c>
      <c r="B556" s="1" t="d">
        <v>2023-10-19</v>
      </c>
      <c r="C556" t="s">
        <v>568</v>
      </c>
      <c r="D556" t="s">
        <v>10</v>
      </c>
      <c r="E556" s="2">
        <v>25</v>
      </c>
      <c r="F556" t="s">
        <v>11</v>
      </c>
      <c r="G556" s="2">
        <v>1</v>
      </c>
      <c r="H556" s="15">
        <v>300</v>
      </c>
      <c r="I556" s="14">
        <v>300</v>
      </c>
    </row>
    <row r="557" spans="1:9" x14ac:dyDescent="0.25">
      <c r="A557">
        <v>556</v>
      </c>
      <c r="B557" s="1" t="d">
        <v>2023-06-04</v>
      </c>
      <c r="C557" t="s">
        <v>569</v>
      </c>
      <c r="D557" t="s">
        <v>13</v>
      </c>
      <c r="E557" s="2">
        <v>18</v>
      </c>
      <c r="F557" t="s">
        <v>16</v>
      </c>
      <c r="G557" s="2">
        <v>1</v>
      </c>
      <c r="H557" s="15">
        <v>50</v>
      </c>
      <c r="I557" s="14">
        <v>50</v>
      </c>
    </row>
    <row r="558" spans="1:9" x14ac:dyDescent="0.25">
      <c r="A558">
        <v>557</v>
      </c>
      <c r="B558" s="1" t="d">
        <v>2023-07-27</v>
      </c>
      <c r="C558" t="s">
        <v>570</v>
      </c>
      <c r="D558" t="s">
        <v>13</v>
      </c>
      <c r="E558" s="2">
        <v>20</v>
      </c>
      <c r="F558" t="s">
        <v>11</v>
      </c>
      <c r="G558" s="2">
        <v>3</v>
      </c>
      <c r="H558" s="15">
        <v>30</v>
      </c>
      <c r="I558" s="14">
        <v>90</v>
      </c>
    </row>
    <row r="559" spans="1:9" x14ac:dyDescent="0.25">
      <c r="A559">
        <v>558</v>
      </c>
      <c r="B559" s="1" t="d">
        <v>2023-10-08</v>
      </c>
      <c r="C559" t="s">
        <v>571</v>
      </c>
      <c r="D559" t="s">
        <v>13</v>
      </c>
      <c r="E559" s="2">
        <v>41</v>
      </c>
      <c r="F559" t="s">
        <v>14</v>
      </c>
      <c r="G559" s="2">
        <v>1</v>
      </c>
      <c r="H559" s="15">
        <v>25</v>
      </c>
      <c r="I559" s="14">
        <v>25</v>
      </c>
    </row>
    <row r="560" spans="1:9" x14ac:dyDescent="0.25">
      <c r="A560">
        <v>559</v>
      </c>
      <c r="B560" s="1" t="d">
        <v>2023-01-01</v>
      </c>
      <c r="C560" t="s">
        <v>572</v>
      </c>
      <c r="D560" t="s">
        <v>13</v>
      </c>
      <c r="E560" s="2">
        <v>40</v>
      </c>
      <c r="F560" t="s">
        <v>14</v>
      </c>
      <c r="G560" s="2">
        <v>4</v>
      </c>
      <c r="H560" s="15">
        <v>300</v>
      </c>
      <c r="I560" s="14">
        <v>1200</v>
      </c>
    </row>
    <row r="561" spans="1:9" x14ac:dyDescent="0.25">
      <c r="A561">
        <v>560</v>
      </c>
      <c r="B561" s="1" t="d">
        <v>2023-06-05</v>
      </c>
      <c r="C561" t="s">
        <v>573</v>
      </c>
      <c r="D561" t="s">
        <v>13</v>
      </c>
      <c r="E561" s="2">
        <v>25</v>
      </c>
      <c r="F561" t="s">
        <v>16</v>
      </c>
      <c r="G561" s="2">
        <v>1</v>
      </c>
      <c r="H561" s="15">
        <v>50</v>
      </c>
      <c r="I561" s="14">
        <v>50</v>
      </c>
    </row>
    <row r="562" spans="1:9" x14ac:dyDescent="0.25">
      <c r="A562">
        <v>561</v>
      </c>
      <c r="B562" s="1" t="d">
        <v>2023-05-27</v>
      </c>
      <c r="C562" t="s">
        <v>574</v>
      </c>
      <c r="D562" t="s">
        <v>13</v>
      </c>
      <c r="E562" s="2">
        <v>64</v>
      </c>
      <c r="F562" t="s">
        <v>14</v>
      </c>
      <c r="G562" s="2">
        <v>4</v>
      </c>
      <c r="H562" s="15">
        <v>500</v>
      </c>
      <c r="I562" s="14">
        <v>2000</v>
      </c>
    </row>
    <row r="563" spans="1:9" x14ac:dyDescent="0.25">
      <c r="A563">
        <v>562</v>
      </c>
      <c r="B563" s="1" t="d">
        <v>2023-04-18</v>
      </c>
      <c r="C563" t="s">
        <v>575</v>
      </c>
      <c r="D563" t="s">
        <v>10</v>
      </c>
      <c r="E563" s="2">
        <v>54</v>
      </c>
      <c r="F563" t="s">
        <v>16</v>
      </c>
      <c r="G563" s="2">
        <v>2</v>
      </c>
      <c r="H563" s="15">
        <v>25</v>
      </c>
      <c r="I563" s="14">
        <v>50</v>
      </c>
    </row>
    <row r="564" spans="1:9" x14ac:dyDescent="0.25">
      <c r="A564">
        <v>563</v>
      </c>
      <c r="B564" s="1" t="d">
        <v>2023-08-09</v>
      </c>
      <c r="C564" t="s">
        <v>576</v>
      </c>
      <c r="D564" t="s">
        <v>10</v>
      </c>
      <c r="E564" s="2">
        <v>20</v>
      </c>
      <c r="F564" t="s">
        <v>14</v>
      </c>
      <c r="G564" s="2">
        <v>2</v>
      </c>
      <c r="H564" s="15">
        <v>30</v>
      </c>
      <c r="I564" s="14">
        <v>60</v>
      </c>
    </row>
    <row r="565" spans="1:9" x14ac:dyDescent="0.25">
      <c r="A565">
        <v>564</v>
      </c>
      <c r="B565" s="1" t="d">
        <v>2023-10-24</v>
      </c>
      <c r="C565" t="s">
        <v>577</v>
      </c>
      <c r="D565" t="s">
        <v>10</v>
      </c>
      <c r="E565" s="2">
        <v>50</v>
      </c>
      <c r="F565" t="s">
        <v>16</v>
      </c>
      <c r="G565" s="2">
        <v>2</v>
      </c>
      <c r="H565" s="15">
        <v>50</v>
      </c>
      <c r="I565" s="14">
        <v>100</v>
      </c>
    </row>
    <row r="566" spans="1:9" x14ac:dyDescent="0.25">
      <c r="A566">
        <v>565</v>
      </c>
      <c r="B566" s="1" t="d">
        <v>2023-11-07</v>
      </c>
      <c r="C566" t="s">
        <v>578</v>
      </c>
      <c r="D566" t="s">
        <v>13</v>
      </c>
      <c r="E566" s="2">
        <v>45</v>
      </c>
      <c r="F566" t="s">
        <v>11</v>
      </c>
      <c r="G566" s="2">
        <v>2</v>
      </c>
      <c r="H566" s="15">
        <v>30</v>
      </c>
      <c r="I566" s="14">
        <v>60</v>
      </c>
    </row>
    <row r="567" spans="1:9" x14ac:dyDescent="0.25">
      <c r="A567">
        <v>566</v>
      </c>
      <c r="B567" s="1" t="d">
        <v>2023-12-02</v>
      </c>
      <c r="C567" t="s">
        <v>579</v>
      </c>
      <c r="D567" t="s">
        <v>13</v>
      </c>
      <c r="E567" s="2">
        <v>64</v>
      </c>
      <c r="F567" t="s">
        <v>14</v>
      </c>
      <c r="G567" s="2">
        <v>1</v>
      </c>
      <c r="H567" s="15">
        <v>30</v>
      </c>
      <c r="I567" s="14">
        <v>30</v>
      </c>
    </row>
    <row r="568" spans="1:9" x14ac:dyDescent="0.25">
      <c r="A568">
        <v>567</v>
      </c>
      <c r="B568" s="1" t="d">
        <v>2023-06-14</v>
      </c>
      <c r="C568" t="s">
        <v>580</v>
      </c>
      <c r="D568" t="s">
        <v>13</v>
      </c>
      <c r="E568" s="2">
        <v>25</v>
      </c>
      <c r="F568" t="s">
        <v>14</v>
      </c>
      <c r="G568" s="2">
        <v>3</v>
      </c>
      <c r="H568" s="15">
        <v>300</v>
      </c>
      <c r="I568" s="14">
        <v>900</v>
      </c>
    </row>
    <row r="569" spans="1:9" x14ac:dyDescent="0.25">
      <c r="A569">
        <v>568</v>
      </c>
      <c r="B569" s="1" t="d">
        <v>2023-08-27</v>
      </c>
      <c r="C569" t="s">
        <v>581</v>
      </c>
      <c r="D569" t="s">
        <v>13</v>
      </c>
      <c r="E569" s="2">
        <v>51</v>
      </c>
      <c r="F569" t="s">
        <v>16</v>
      </c>
      <c r="G569" s="2">
        <v>1</v>
      </c>
      <c r="H569" s="15">
        <v>300</v>
      </c>
      <c r="I569" s="14">
        <v>300</v>
      </c>
    </row>
    <row r="570" spans="1:9" x14ac:dyDescent="0.25">
      <c r="A570">
        <v>569</v>
      </c>
      <c r="B570" s="1" t="d">
        <v>2023-08-15</v>
      </c>
      <c r="C570" t="s">
        <v>582</v>
      </c>
      <c r="D570" t="s">
        <v>10</v>
      </c>
      <c r="E570" s="2">
        <v>52</v>
      </c>
      <c r="F570" t="s">
        <v>16</v>
      </c>
      <c r="G570" s="2">
        <v>4</v>
      </c>
      <c r="H570" s="15">
        <v>50</v>
      </c>
      <c r="I570" s="14">
        <v>200</v>
      </c>
    </row>
    <row r="571" spans="1:9" x14ac:dyDescent="0.25">
      <c r="A571">
        <v>570</v>
      </c>
      <c r="B571" s="1" t="d">
        <v>2023-08-15</v>
      </c>
      <c r="C571" t="s">
        <v>583</v>
      </c>
      <c r="D571" t="s">
        <v>10</v>
      </c>
      <c r="E571" s="2">
        <v>49</v>
      </c>
      <c r="F571" t="s">
        <v>14</v>
      </c>
      <c r="G571" s="2">
        <v>1</v>
      </c>
      <c r="H571" s="15">
        <v>500</v>
      </c>
      <c r="I571" s="14">
        <v>500</v>
      </c>
    </row>
    <row r="572" spans="1:9" x14ac:dyDescent="0.25">
      <c r="A572">
        <v>571</v>
      </c>
      <c r="B572" s="1" t="d">
        <v>2023-12-12</v>
      </c>
      <c r="C572" t="s">
        <v>584</v>
      </c>
      <c r="D572" t="s">
        <v>13</v>
      </c>
      <c r="E572" s="2">
        <v>41</v>
      </c>
      <c r="F572" t="s">
        <v>16</v>
      </c>
      <c r="G572" s="2">
        <v>1</v>
      </c>
      <c r="H572" s="15">
        <v>50</v>
      </c>
      <c r="I572" s="14">
        <v>50</v>
      </c>
    </row>
    <row r="573" spans="1:9" x14ac:dyDescent="0.25">
      <c r="A573">
        <v>572</v>
      </c>
      <c r="B573" s="1" t="d">
        <v>2023-04-20</v>
      </c>
      <c r="C573" t="s">
        <v>585</v>
      </c>
      <c r="D573" t="s">
        <v>10</v>
      </c>
      <c r="E573" s="2">
        <v>31</v>
      </c>
      <c r="F573" t="s">
        <v>14</v>
      </c>
      <c r="G573" s="2">
        <v>4</v>
      </c>
      <c r="H573" s="15">
        <v>500</v>
      </c>
      <c r="I573" s="14">
        <v>2000</v>
      </c>
    </row>
    <row r="574" spans="1:9" x14ac:dyDescent="0.25">
      <c r="A574">
        <v>573</v>
      </c>
      <c r="B574" s="1" t="d">
        <v>2023-09-19</v>
      </c>
      <c r="C574" t="s">
        <v>586</v>
      </c>
      <c r="D574" t="s">
        <v>10</v>
      </c>
      <c r="E574" s="2">
        <v>49</v>
      </c>
      <c r="F574" t="s">
        <v>11</v>
      </c>
      <c r="G574" s="2">
        <v>2</v>
      </c>
      <c r="H574" s="15">
        <v>30</v>
      </c>
      <c r="I574" s="14">
        <v>60</v>
      </c>
    </row>
    <row r="575" spans="1:9" x14ac:dyDescent="0.25">
      <c r="A575">
        <v>574</v>
      </c>
      <c r="B575" s="1" t="d">
        <v>2023-08-31</v>
      </c>
      <c r="C575" t="s">
        <v>587</v>
      </c>
      <c r="D575" t="s">
        <v>13</v>
      </c>
      <c r="E575" s="2">
        <v>63</v>
      </c>
      <c r="F575" t="s">
        <v>16</v>
      </c>
      <c r="G575" s="2">
        <v>2</v>
      </c>
      <c r="H575" s="15">
        <v>25</v>
      </c>
      <c r="I575" s="14">
        <v>50</v>
      </c>
    </row>
    <row r="576" spans="1:9" x14ac:dyDescent="0.25">
      <c r="A576">
        <v>575</v>
      </c>
      <c r="B576" s="1" t="d">
        <v>2023-03-28</v>
      </c>
      <c r="C576" t="s">
        <v>588</v>
      </c>
      <c r="D576" t="s">
        <v>10</v>
      </c>
      <c r="E576" s="2">
        <v>60</v>
      </c>
      <c r="F576" t="s">
        <v>14</v>
      </c>
      <c r="G576" s="2">
        <v>2</v>
      </c>
      <c r="H576" s="15">
        <v>50</v>
      </c>
      <c r="I576" s="14">
        <v>100</v>
      </c>
    </row>
    <row r="577" spans="1:9" x14ac:dyDescent="0.25">
      <c r="A577">
        <v>576</v>
      </c>
      <c r="B577" s="1" t="d">
        <v>2023-12-04</v>
      </c>
      <c r="C577" t="s">
        <v>589</v>
      </c>
      <c r="D577" t="s">
        <v>13</v>
      </c>
      <c r="E577" s="2">
        <v>33</v>
      </c>
      <c r="F577" t="s">
        <v>11</v>
      </c>
      <c r="G577" s="2">
        <v>3</v>
      </c>
      <c r="H577" s="15">
        <v>50</v>
      </c>
      <c r="I577" s="14">
        <v>150</v>
      </c>
    </row>
    <row r="578" spans="1:9" x14ac:dyDescent="0.25">
      <c r="A578">
        <v>577</v>
      </c>
      <c r="B578" s="1" t="d">
        <v>2023-02-13</v>
      </c>
      <c r="C578" t="s">
        <v>590</v>
      </c>
      <c r="D578" t="s">
        <v>10</v>
      </c>
      <c r="E578" s="2">
        <v>21</v>
      </c>
      <c r="F578" t="s">
        <v>11</v>
      </c>
      <c r="G578" s="2">
        <v>4</v>
      </c>
      <c r="H578" s="15">
        <v>500</v>
      </c>
      <c r="I578" s="14">
        <v>2000</v>
      </c>
    </row>
    <row r="579" spans="1:9" x14ac:dyDescent="0.25">
      <c r="A579">
        <v>578</v>
      </c>
      <c r="B579" s="1" t="d">
        <v>2023-05-26</v>
      </c>
      <c r="C579" t="s">
        <v>591</v>
      </c>
      <c r="D579" t="s">
        <v>13</v>
      </c>
      <c r="E579" s="2">
        <v>54</v>
      </c>
      <c r="F579" t="s">
        <v>14</v>
      </c>
      <c r="G579" s="2">
        <v>4</v>
      </c>
      <c r="H579" s="15">
        <v>30</v>
      </c>
      <c r="I579" s="14">
        <v>120</v>
      </c>
    </row>
    <row r="580" spans="1:9" x14ac:dyDescent="0.25">
      <c r="A580">
        <v>579</v>
      </c>
      <c r="B580" s="1" t="d">
        <v>2023-09-21</v>
      </c>
      <c r="C580" t="s">
        <v>592</v>
      </c>
      <c r="D580" t="s">
        <v>13</v>
      </c>
      <c r="E580" s="2">
        <v>38</v>
      </c>
      <c r="F580" t="s">
        <v>16</v>
      </c>
      <c r="G580" s="2">
        <v>1</v>
      </c>
      <c r="H580" s="15">
        <v>30</v>
      </c>
      <c r="I580" s="14">
        <v>30</v>
      </c>
    </row>
    <row r="581" spans="1:9" x14ac:dyDescent="0.25">
      <c r="A581">
        <v>580</v>
      </c>
      <c r="B581" s="1" t="d">
        <v>2023-12-06</v>
      </c>
      <c r="C581" t="s">
        <v>593</v>
      </c>
      <c r="D581" t="s">
        <v>13</v>
      </c>
      <c r="E581" s="2">
        <v>31</v>
      </c>
      <c r="F581" t="s">
        <v>14</v>
      </c>
      <c r="G581" s="2">
        <v>3</v>
      </c>
      <c r="H581" s="15">
        <v>500</v>
      </c>
      <c r="I581" s="14">
        <v>1500</v>
      </c>
    </row>
    <row r="582" spans="1:9" x14ac:dyDescent="0.25">
      <c r="A582">
        <v>581</v>
      </c>
      <c r="B582" s="1" t="d">
        <v>2023-11-21</v>
      </c>
      <c r="C582" t="s">
        <v>594</v>
      </c>
      <c r="D582" t="s">
        <v>13</v>
      </c>
      <c r="E582" s="2">
        <v>48</v>
      </c>
      <c r="F582" t="s">
        <v>11</v>
      </c>
      <c r="G582" s="2">
        <v>2</v>
      </c>
      <c r="H582" s="15">
        <v>30</v>
      </c>
      <c r="I582" s="14">
        <v>60</v>
      </c>
    </row>
    <row r="583" spans="1:9" x14ac:dyDescent="0.25">
      <c r="A583">
        <v>582</v>
      </c>
      <c r="B583" s="1" t="d">
        <v>2023-11-14</v>
      </c>
      <c r="C583" t="s">
        <v>595</v>
      </c>
      <c r="D583" t="s">
        <v>10</v>
      </c>
      <c r="E583" s="2">
        <v>35</v>
      </c>
      <c r="F583" t="s">
        <v>14</v>
      </c>
      <c r="G583" s="2">
        <v>3</v>
      </c>
      <c r="H583" s="15">
        <v>300</v>
      </c>
      <c r="I583" s="14">
        <v>900</v>
      </c>
    </row>
    <row r="584" spans="1:9" x14ac:dyDescent="0.25">
      <c r="A584">
        <v>583</v>
      </c>
      <c r="B584" s="1" t="d">
        <v>2023-06-21</v>
      </c>
      <c r="C584" t="s">
        <v>596</v>
      </c>
      <c r="D584" t="s">
        <v>13</v>
      </c>
      <c r="E584" s="2">
        <v>24</v>
      </c>
      <c r="F584" t="s">
        <v>16</v>
      </c>
      <c r="G584" s="2">
        <v>4</v>
      </c>
      <c r="H584" s="15">
        <v>25</v>
      </c>
      <c r="I584" s="14">
        <v>100</v>
      </c>
    </row>
    <row r="585" spans="1:9" x14ac:dyDescent="0.25">
      <c r="A585">
        <v>584</v>
      </c>
      <c r="B585" s="1" t="d">
        <v>2023-02-17</v>
      </c>
      <c r="C585" t="s">
        <v>597</v>
      </c>
      <c r="D585" t="s">
        <v>13</v>
      </c>
      <c r="E585" s="2">
        <v>27</v>
      </c>
      <c r="F585" t="s">
        <v>11</v>
      </c>
      <c r="G585" s="2">
        <v>4</v>
      </c>
      <c r="H585" s="15">
        <v>50</v>
      </c>
      <c r="I585" s="14">
        <v>200</v>
      </c>
    </row>
    <row r="586" spans="1:9" x14ac:dyDescent="0.25">
      <c r="A586">
        <v>585</v>
      </c>
      <c r="B586" s="1" t="d">
        <v>2023-05-01</v>
      </c>
      <c r="C586" t="s">
        <v>598</v>
      </c>
      <c r="D586" t="s">
        <v>13</v>
      </c>
      <c r="E586" s="2">
        <v>24</v>
      </c>
      <c r="F586" t="s">
        <v>14</v>
      </c>
      <c r="G586" s="2">
        <v>1</v>
      </c>
      <c r="H586" s="15">
        <v>25</v>
      </c>
      <c r="I586" s="14">
        <v>25</v>
      </c>
    </row>
    <row r="587" spans="1:9" x14ac:dyDescent="0.25">
      <c r="A587">
        <v>586</v>
      </c>
      <c r="B587" s="1" t="d">
        <v>2023-12-11</v>
      </c>
      <c r="C587" t="s">
        <v>599</v>
      </c>
      <c r="D587" t="s">
        <v>10</v>
      </c>
      <c r="E587" s="2">
        <v>50</v>
      </c>
      <c r="F587" t="s">
        <v>16</v>
      </c>
      <c r="G587" s="2">
        <v>1</v>
      </c>
      <c r="H587" s="15">
        <v>50</v>
      </c>
      <c r="I587" s="14">
        <v>50</v>
      </c>
    </row>
    <row r="588" spans="1:9" x14ac:dyDescent="0.25">
      <c r="A588">
        <v>587</v>
      </c>
      <c r="B588" s="1" t="d">
        <v>2023-06-08</v>
      </c>
      <c r="C588" t="s">
        <v>600</v>
      </c>
      <c r="D588" t="s">
        <v>13</v>
      </c>
      <c r="E588" s="2">
        <v>40</v>
      </c>
      <c r="F588" t="s">
        <v>11</v>
      </c>
      <c r="G588" s="2">
        <v>4</v>
      </c>
      <c r="H588" s="15">
        <v>300</v>
      </c>
      <c r="I588" s="14">
        <v>1200</v>
      </c>
    </row>
    <row r="589" spans="1:9" x14ac:dyDescent="0.25">
      <c r="A589">
        <v>588</v>
      </c>
      <c r="B589" s="1" t="d">
        <v>2023-04-26</v>
      </c>
      <c r="C589" t="s">
        <v>601</v>
      </c>
      <c r="D589" t="s">
        <v>10</v>
      </c>
      <c r="E589" s="2">
        <v>38</v>
      </c>
      <c r="F589" t="s">
        <v>16</v>
      </c>
      <c r="G589" s="2">
        <v>2</v>
      </c>
      <c r="H589" s="15">
        <v>30</v>
      </c>
      <c r="I589" s="14">
        <v>60</v>
      </c>
    </row>
    <row r="590" spans="1:9" x14ac:dyDescent="0.25">
      <c r="A590">
        <v>589</v>
      </c>
      <c r="B590" s="1" t="d">
        <v>2023-04-12</v>
      </c>
      <c r="C590" t="s">
        <v>602</v>
      </c>
      <c r="D590" t="s">
        <v>13</v>
      </c>
      <c r="E590" s="2">
        <v>36</v>
      </c>
      <c r="F590" t="s">
        <v>11</v>
      </c>
      <c r="G590" s="2">
        <v>2</v>
      </c>
      <c r="H590" s="15">
        <v>500</v>
      </c>
      <c r="I590" s="14">
        <v>1000</v>
      </c>
    </row>
    <row r="591" spans="1:9" x14ac:dyDescent="0.25">
      <c r="A591">
        <v>590</v>
      </c>
      <c r="B591" s="1" t="d">
        <v>2023-03-17</v>
      </c>
      <c r="C591" t="s">
        <v>603</v>
      </c>
      <c r="D591" t="s">
        <v>10</v>
      </c>
      <c r="E591" s="2">
        <v>36</v>
      </c>
      <c r="F591" t="s">
        <v>14</v>
      </c>
      <c r="G591" s="2">
        <v>3</v>
      </c>
      <c r="H591" s="15">
        <v>300</v>
      </c>
      <c r="I591" s="14">
        <v>900</v>
      </c>
    </row>
    <row r="592" spans="1:9" x14ac:dyDescent="0.25">
      <c r="A592">
        <v>591</v>
      </c>
      <c r="B592" s="1" t="d">
        <v>2023-01-13</v>
      </c>
      <c r="C592" t="s">
        <v>604</v>
      </c>
      <c r="D592" t="s">
        <v>10</v>
      </c>
      <c r="E592" s="2">
        <v>53</v>
      </c>
      <c r="F592" t="s">
        <v>16</v>
      </c>
      <c r="G592" s="2">
        <v>4</v>
      </c>
      <c r="H592" s="15">
        <v>25</v>
      </c>
      <c r="I592" s="14">
        <v>100</v>
      </c>
    </row>
    <row r="593" spans="1:9" x14ac:dyDescent="0.25">
      <c r="A593">
        <v>592</v>
      </c>
      <c r="B593" s="1" t="d">
        <v>2023-01-24</v>
      </c>
      <c r="C593" t="s">
        <v>605</v>
      </c>
      <c r="D593" t="s">
        <v>13</v>
      </c>
      <c r="E593" s="2">
        <v>46</v>
      </c>
      <c r="F593" t="s">
        <v>11</v>
      </c>
      <c r="G593" s="2">
        <v>4</v>
      </c>
      <c r="H593" s="15">
        <v>500</v>
      </c>
      <c r="I593" s="14">
        <v>2000</v>
      </c>
    </row>
    <row r="594" spans="1:9" x14ac:dyDescent="0.25">
      <c r="A594">
        <v>593</v>
      </c>
      <c r="B594" s="1" t="d">
        <v>2023-05-06</v>
      </c>
      <c r="C594" t="s">
        <v>606</v>
      </c>
      <c r="D594" t="s">
        <v>10</v>
      </c>
      <c r="E594" s="2">
        <v>35</v>
      </c>
      <c r="F594" t="s">
        <v>16</v>
      </c>
      <c r="G594" s="2">
        <v>2</v>
      </c>
      <c r="H594" s="15">
        <v>30</v>
      </c>
      <c r="I594" s="14">
        <v>60</v>
      </c>
    </row>
    <row r="595" spans="1:9" x14ac:dyDescent="0.25">
      <c r="A595">
        <v>594</v>
      </c>
      <c r="B595" s="1" t="d">
        <v>2023-09-01</v>
      </c>
      <c r="C595" t="s">
        <v>607</v>
      </c>
      <c r="D595" t="s">
        <v>13</v>
      </c>
      <c r="E595" s="2">
        <v>19</v>
      </c>
      <c r="F595" t="s">
        <v>16</v>
      </c>
      <c r="G595" s="2">
        <v>2</v>
      </c>
      <c r="H595" s="15">
        <v>300</v>
      </c>
      <c r="I595" s="14">
        <v>600</v>
      </c>
    </row>
    <row r="596" spans="1:9" x14ac:dyDescent="0.25">
      <c r="A596">
        <v>595</v>
      </c>
      <c r="B596" s="1" t="d">
        <v>2023-11-09</v>
      </c>
      <c r="C596" t="s">
        <v>608</v>
      </c>
      <c r="D596" t="s">
        <v>13</v>
      </c>
      <c r="E596" s="2">
        <v>18</v>
      </c>
      <c r="F596" t="s">
        <v>14</v>
      </c>
      <c r="G596" s="2">
        <v>4</v>
      </c>
      <c r="H596" s="15">
        <v>500</v>
      </c>
      <c r="I596" s="14">
        <v>2000</v>
      </c>
    </row>
    <row r="597" spans="1:9" x14ac:dyDescent="0.25">
      <c r="A597">
        <v>596</v>
      </c>
      <c r="B597" s="1" t="d">
        <v>2023-02-07</v>
      </c>
      <c r="C597" t="s">
        <v>609</v>
      </c>
      <c r="D597" t="s">
        <v>13</v>
      </c>
      <c r="E597" s="2">
        <v>64</v>
      </c>
      <c r="F597" t="s">
        <v>16</v>
      </c>
      <c r="G597" s="2">
        <v>1</v>
      </c>
      <c r="H597" s="15">
        <v>300</v>
      </c>
      <c r="I597" s="14">
        <v>300</v>
      </c>
    </row>
    <row r="598" spans="1:9" x14ac:dyDescent="0.25">
      <c r="A598">
        <v>597</v>
      </c>
      <c r="B598" s="1" t="d">
        <v>2023-08-22</v>
      </c>
      <c r="C598" t="s">
        <v>610</v>
      </c>
      <c r="D598" t="s">
        <v>10</v>
      </c>
      <c r="E598" s="2">
        <v>22</v>
      </c>
      <c r="F598" t="s">
        <v>11</v>
      </c>
      <c r="G598" s="2">
        <v>4</v>
      </c>
      <c r="H598" s="15">
        <v>300</v>
      </c>
      <c r="I598" s="14">
        <v>1200</v>
      </c>
    </row>
    <row r="599" spans="1:9" x14ac:dyDescent="0.25">
      <c r="A599">
        <v>598</v>
      </c>
      <c r="B599" s="1" t="d">
        <v>2023-08-01</v>
      </c>
      <c r="C599" t="s">
        <v>611</v>
      </c>
      <c r="D599" t="s">
        <v>10</v>
      </c>
      <c r="E599" s="2">
        <v>37</v>
      </c>
      <c r="F599" t="s">
        <v>11</v>
      </c>
      <c r="G599" s="2">
        <v>4</v>
      </c>
      <c r="H599" s="15">
        <v>30</v>
      </c>
      <c r="I599" s="14">
        <v>120</v>
      </c>
    </row>
    <row r="600" spans="1:9" x14ac:dyDescent="0.25">
      <c r="A600">
        <v>599</v>
      </c>
      <c r="B600" s="1" t="d">
        <v>2023-11-19</v>
      </c>
      <c r="C600" t="s">
        <v>612</v>
      </c>
      <c r="D600" t="s">
        <v>13</v>
      </c>
      <c r="E600" s="2">
        <v>28</v>
      </c>
      <c r="F600" t="s">
        <v>11</v>
      </c>
      <c r="G600" s="2">
        <v>2</v>
      </c>
      <c r="H600" s="15">
        <v>50</v>
      </c>
      <c r="I600" s="14">
        <v>100</v>
      </c>
    </row>
    <row r="601" spans="1:9" x14ac:dyDescent="0.25">
      <c r="A601">
        <v>600</v>
      </c>
      <c r="B601" s="1" t="d">
        <v>2023-10-22</v>
      </c>
      <c r="C601" t="s">
        <v>613</v>
      </c>
      <c r="D601" t="s">
        <v>13</v>
      </c>
      <c r="E601" s="2">
        <v>59</v>
      </c>
      <c r="F601" t="s">
        <v>11</v>
      </c>
      <c r="G601" s="2">
        <v>2</v>
      </c>
      <c r="H601" s="15">
        <v>500</v>
      </c>
      <c r="I601" s="14">
        <v>1000</v>
      </c>
    </row>
    <row r="602" spans="1:9" x14ac:dyDescent="0.25">
      <c r="A602">
        <v>601</v>
      </c>
      <c r="B602" s="1" t="d">
        <v>2023-04-10</v>
      </c>
      <c r="C602" t="s">
        <v>614</v>
      </c>
      <c r="D602" t="s">
        <v>10</v>
      </c>
      <c r="E602" s="2">
        <v>19</v>
      </c>
      <c r="F602" t="s">
        <v>14</v>
      </c>
      <c r="G602" s="2">
        <v>1</v>
      </c>
      <c r="H602" s="15">
        <v>30</v>
      </c>
      <c r="I602" s="14">
        <v>30</v>
      </c>
    </row>
    <row r="603" spans="1:9" x14ac:dyDescent="0.25">
      <c r="A603">
        <v>602</v>
      </c>
      <c r="B603" s="1" t="d">
        <v>2023-12-23</v>
      </c>
      <c r="C603" t="s">
        <v>615</v>
      </c>
      <c r="D603" t="s">
        <v>13</v>
      </c>
      <c r="E603" s="2">
        <v>20</v>
      </c>
      <c r="F603" t="s">
        <v>16</v>
      </c>
      <c r="G603" s="2">
        <v>1</v>
      </c>
      <c r="H603" s="15">
        <v>300</v>
      </c>
      <c r="I603" s="14">
        <v>300</v>
      </c>
    </row>
    <row r="604" spans="1:9" x14ac:dyDescent="0.25">
      <c r="A604">
        <v>603</v>
      </c>
      <c r="B604" s="1" t="d">
        <v>2023-07-16</v>
      </c>
      <c r="C604" t="s">
        <v>616</v>
      </c>
      <c r="D604" t="s">
        <v>13</v>
      </c>
      <c r="E604" s="2">
        <v>40</v>
      </c>
      <c r="F604" t="s">
        <v>14</v>
      </c>
      <c r="G604" s="2">
        <v>3</v>
      </c>
      <c r="H604" s="15">
        <v>30</v>
      </c>
      <c r="I604" s="14">
        <v>90</v>
      </c>
    </row>
    <row r="605" spans="1:9" x14ac:dyDescent="0.25">
      <c r="A605">
        <v>604</v>
      </c>
      <c r="B605" s="1" t="d">
        <v>2023-09-11</v>
      </c>
      <c r="C605" t="s">
        <v>617</v>
      </c>
      <c r="D605" t="s">
        <v>13</v>
      </c>
      <c r="E605" s="2">
        <v>29</v>
      </c>
      <c r="F605" t="s">
        <v>16</v>
      </c>
      <c r="G605" s="2">
        <v>4</v>
      </c>
      <c r="H605" s="15">
        <v>50</v>
      </c>
      <c r="I605" s="14">
        <v>200</v>
      </c>
    </row>
    <row r="606" spans="1:9" x14ac:dyDescent="0.25">
      <c r="A606">
        <v>605</v>
      </c>
      <c r="B606" s="1" t="d">
        <v>2023-07-24</v>
      </c>
      <c r="C606" t="s">
        <v>618</v>
      </c>
      <c r="D606" t="s">
        <v>10</v>
      </c>
      <c r="E606" s="2">
        <v>37</v>
      </c>
      <c r="F606" t="s">
        <v>16</v>
      </c>
      <c r="G606" s="2">
        <v>2</v>
      </c>
      <c r="H606" s="15">
        <v>500</v>
      </c>
      <c r="I606" s="14">
        <v>1000</v>
      </c>
    </row>
    <row r="607" spans="1:9" x14ac:dyDescent="0.25">
      <c r="A607">
        <v>606</v>
      </c>
      <c r="B607" s="1" t="d">
        <v>2023-05-05</v>
      </c>
      <c r="C607" t="s">
        <v>619</v>
      </c>
      <c r="D607" t="s">
        <v>10</v>
      </c>
      <c r="E607" s="2">
        <v>22</v>
      </c>
      <c r="F607" t="s">
        <v>16</v>
      </c>
      <c r="G607" s="2">
        <v>1</v>
      </c>
      <c r="H607" s="15">
        <v>50</v>
      </c>
      <c r="I607" s="14">
        <v>50</v>
      </c>
    </row>
    <row r="608" spans="1:9" x14ac:dyDescent="0.25">
      <c r="A608">
        <v>607</v>
      </c>
      <c r="B608" s="1" t="d">
        <v>2023-03-17</v>
      </c>
      <c r="C608" t="s">
        <v>620</v>
      </c>
      <c r="D608" t="s">
        <v>10</v>
      </c>
      <c r="E608" s="2">
        <v>54</v>
      </c>
      <c r="F608" t="s">
        <v>14</v>
      </c>
      <c r="G608" s="2">
        <v>3</v>
      </c>
      <c r="H608" s="15">
        <v>25</v>
      </c>
      <c r="I608" s="14">
        <v>75</v>
      </c>
    </row>
    <row r="609" spans="1:9" x14ac:dyDescent="0.25">
      <c r="A609">
        <v>608</v>
      </c>
      <c r="B609" s="1" t="d">
        <v>2023-12-02</v>
      </c>
      <c r="C609" t="s">
        <v>621</v>
      </c>
      <c r="D609" t="s">
        <v>13</v>
      </c>
      <c r="E609" s="2">
        <v>55</v>
      </c>
      <c r="F609" t="s">
        <v>16</v>
      </c>
      <c r="G609" s="2">
        <v>3</v>
      </c>
      <c r="H609" s="15">
        <v>500</v>
      </c>
      <c r="I609" s="14">
        <v>1500</v>
      </c>
    </row>
    <row r="610" spans="1:9" x14ac:dyDescent="0.25">
      <c r="A610">
        <v>609</v>
      </c>
      <c r="B610" s="1" t="d">
        <v>2023-12-19</v>
      </c>
      <c r="C610" t="s">
        <v>622</v>
      </c>
      <c r="D610" t="s">
        <v>13</v>
      </c>
      <c r="E610" s="2">
        <v>47</v>
      </c>
      <c r="F610" t="s">
        <v>14</v>
      </c>
      <c r="G610" s="2">
        <v>2</v>
      </c>
      <c r="H610" s="15">
        <v>50</v>
      </c>
      <c r="I610" s="14">
        <v>100</v>
      </c>
    </row>
    <row r="611" spans="1:9" x14ac:dyDescent="0.25">
      <c r="A611">
        <v>610</v>
      </c>
      <c r="B611" s="1" t="d">
        <v>2023-01-03</v>
      </c>
      <c r="C611" t="s">
        <v>623</v>
      </c>
      <c r="D611" t="s">
        <v>13</v>
      </c>
      <c r="E611" s="2">
        <v>26</v>
      </c>
      <c r="F611" t="s">
        <v>11</v>
      </c>
      <c r="G611" s="2">
        <v>2</v>
      </c>
      <c r="H611" s="15">
        <v>300</v>
      </c>
      <c r="I611" s="14">
        <v>600</v>
      </c>
    </row>
    <row r="612" spans="1:9" x14ac:dyDescent="0.25">
      <c r="A612">
        <v>611</v>
      </c>
      <c r="B612" s="1" t="d">
        <v>2023-02-24</v>
      </c>
      <c r="C612" t="s">
        <v>624</v>
      </c>
      <c r="D612" t="s">
        <v>10</v>
      </c>
      <c r="E612" s="2">
        <v>51</v>
      </c>
      <c r="F612" t="s">
        <v>11</v>
      </c>
      <c r="G612" s="2">
        <v>3</v>
      </c>
      <c r="H612" s="15">
        <v>500</v>
      </c>
      <c r="I612" s="14">
        <v>1500</v>
      </c>
    </row>
    <row r="613" spans="1:9" x14ac:dyDescent="0.25">
      <c r="A613">
        <v>612</v>
      </c>
      <c r="B613" s="1" t="d">
        <v>2023-08-06</v>
      </c>
      <c r="C613" t="s">
        <v>625</v>
      </c>
      <c r="D613" t="s">
        <v>13</v>
      </c>
      <c r="E613" s="2">
        <v>61</v>
      </c>
      <c r="F613" t="s">
        <v>16</v>
      </c>
      <c r="G613" s="2">
        <v>1</v>
      </c>
      <c r="H613" s="15">
        <v>500</v>
      </c>
      <c r="I613" s="14">
        <v>500</v>
      </c>
    </row>
    <row r="614" spans="1:9" x14ac:dyDescent="0.25">
      <c r="A614">
        <v>613</v>
      </c>
      <c r="B614" s="1" t="d">
        <v>2023-04-23</v>
      </c>
      <c r="C614" t="s">
        <v>626</v>
      </c>
      <c r="D614" t="s">
        <v>13</v>
      </c>
      <c r="E614" s="2">
        <v>52</v>
      </c>
      <c r="F614" t="s">
        <v>14</v>
      </c>
      <c r="G614" s="2">
        <v>3</v>
      </c>
      <c r="H614" s="15">
        <v>30</v>
      </c>
      <c r="I614" s="14">
        <v>90</v>
      </c>
    </row>
    <row r="615" spans="1:9" x14ac:dyDescent="0.25">
      <c r="A615">
        <v>614</v>
      </c>
      <c r="B615" s="1" t="d">
        <v>2023-04-01</v>
      </c>
      <c r="C615" t="s">
        <v>627</v>
      </c>
      <c r="D615" t="s">
        <v>13</v>
      </c>
      <c r="E615" s="2">
        <v>39</v>
      </c>
      <c r="F615" t="s">
        <v>11</v>
      </c>
      <c r="G615" s="2">
        <v>4</v>
      </c>
      <c r="H615" s="15">
        <v>300</v>
      </c>
      <c r="I615" s="14">
        <v>1200</v>
      </c>
    </row>
    <row r="616" spans="1:9" x14ac:dyDescent="0.25">
      <c r="A616">
        <v>615</v>
      </c>
      <c r="B616" s="1" t="d">
        <v>2023-12-23</v>
      </c>
      <c r="C616" t="s">
        <v>628</v>
      </c>
      <c r="D616" t="s">
        <v>13</v>
      </c>
      <c r="E616" s="2">
        <v>61</v>
      </c>
      <c r="F616" t="s">
        <v>14</v>
      </c>
      <c r="G616" s="2">
        <v>4</v>
      </c>
      <c r="H616" s="15">
        <v>25</v>
      </c>
      <c r="I616" s="14">
        <v>100</v>
      </c>
    </row>
    <row r="617" spans="1:9" x14ac:dyDescent="0.25">
      <c r="A617">
        <v>616</v>
      </c>
      <c r="B617" s="1" t="d">
        <v>2023-09-23</v>
      </c>
      <c r="C617" t="s">
        <v>629</v>
      </c>
      <c r="D617" t="s">
        <v>10</v>
      </c>
      <c r="E617" s="2">
        <v>41</v>
      </c>
      <c r="F617" t="s">
        <v>14</v>
      </c>
      <c r="G617" s="2">
        <v>2</v>
      </c>
      <c r="H617" s="15">
        <v>50</v>
      </c>
      <c r="I617" s="14">
        <v>100</v>
      </c>
    </row>
    <row r="618" spans="1:9" x14ac:dyDescent="0.25">
      <c r="A618">
        <v>617</v>
      </c>
      <c r="B618" s="1" t="d">
        <v>2023-08-26</v>
      </c>
      <c r="C618" t="s">
        <v>630</v>
      </c>
      <c r="D618" t="s">
        <v>10</v>
      </c>
      <c r="E618" s="2">
        <v>34</v>
      </c>
      <c r="F618" t="s">
        <v>16</v>
      </c>
      <c r="G618" s="2">
        <v>1</v>
      </c>
      <c r="H618" s="15">
        <v>30</v>
      </c>
      <c r="I618" s="14">
        <v>30</v>
      </c>
    </row>
    <row r="619" spans="1:9" x14ac:dyDescent="0.25">
      <c r="A619">
        <v>618</v>
      </c>
      <c r="B619" s="1" t="d">
        <v>2023-01-26</v>
      </c>
      <c r="C619" t="s">
        <v>631</v>
      </c>
      <c r="D619" t="s">
        <v>13</v>
      </c>
      <c r="E619" s="2">
        <v>27</v>
      </c>
      <c r="F619" t="s">
        <v>11</v>
      </c>
      <c r="G619" s="2">
        <v>1</v>
      </c>
      <c r="H619" s="15">
        <v>50</v>
      </c>
      <c r="I619" s="14">
        <v>50</v>
      </c>
    </row>
    <row r="620" spans="1:9" x14ac:dyDescent="0.25">
      <c r="A620">
        <v>619</v>
      </c>
      <c r="B620" s="1" t="d">
        <v>2023-10-13</v>
      </c>
      <c r="C620" t="s">
        <v>632</v>
      </c>
      <c r="D620" t="s">
        <v>10</v>
      </c>
      <c r="E620" s="2">
        <v>47</v>
      </c>
      <c r="F620" t="s">
        <v>16</v>
      </c>
      <c r="G620" s="2">
        <v>4</v>
      </c>
      <c r="H620" s="15">
        <v>25</v>
      </c>
      <c r="I620" s="14">
        <v>100</v>
      </c>
    </row>
    <row r="621" spans="1:9" x14ac:dyDescent="0.25">
      <c r="A621">
        <v>620</v>
      </c>
      <c r="B621" s="1" t="d">
        <v>2023-05-08</v>
      </c>
      <c r="C621" t="s">
        <v>633</v>
      </c>
      <c r="D621" t="s">
        <v>10</v>
      </c>
      <c r="E621" s="2">
        <v>63</v>
      </c>
      <c r="F621" t="s">
        <v>16</v>
      </c>
      <c r="G621" s="2">
        <v>3</v>
      </c>
      <c r="H621" s="15">
        <v>25</v>
      </c>
      <c r="I621" s="14">
        <v>75</v>
      </c>
    </row>
    <row r="622" spans="1:9" x14ac:dyDescent="0.25">
      <c r="A622">
        <v>621</v>
      </c>
      <c r="B622" s="1" t="d">
        <v>2023-03-04</v>
      </c>
      <c r="C622" t="s">
        <v>634</v>
      </c>
      <c r="D622" t="s">
        <v>13</v>
      </c>
      <c r="E622" s="2">
        <v>40</v>
      </c>
      <c r="F622" t="s">
        <v>11</v>
      </c>
      <c r="G622" s="2">
        <v>2</v>
      </c>
      <c r="H622" s="15">
        <v>500</v>
      </c>
      <c r="I622" s="14">
        <v>1000</v>
      </c>
    </row>
    <row r="623" spans="1:9" x14ac:dyDescent="0.25">
      <c r="A623">
        <v>622</v>
      </c>
      <c r="B623" s="1" t="d">
        <v>2023-08-22</v>
      </c>
      <c r="C623" t="s">
        <v>635</v>
      </c>
      <c r="D623" t="s">
        <v>13</v>
      </c>
      <c r="E623" s="2">
        <v>49</v>
      </c>
      <c r="F623" t="s">
        <v>11</v>
      </c>
      <c r="G623" s="2">
        <v>3</v>
      </c>
      <c r="H623" s="15">
        <v>25</v>
      </c>
      <c r="I623" s="14">
        <v>75</v>
      </c>
    </row>
    <row r="624" spans="1:9" x14ac:dyDescent="0.25">
      <c r="A624">
        <v>623</v>
      </c>
      <c r="B624" s="1" t="d">
        <v>2023-03-10</v>
      </c>
      <c r="C624" t="s">
        <v>636</v>
      </c>
      <c r="D624" t="s">
        <v>10</v>
      </c>
      <c r="E624" s="2">
        <v>34</v>
      </c>
      <c r="F624" t="s">
        <v>14</v>
      </c>
      <c r="G624" s="2">
        <v>3</v>
      </c>
      <c r="H624" s="15">
        <v>50</v>
      </c>
      <c r="I624" s="14">
        <v>150</v>
      </c>
    </row>
    <row r="625" spans="1:9" x14ac:dyDescent="0.25">
      <c r="A625">
        <v>624</v>
      </c>
      <c r="B625" s="1" t="d">
        <v>2023-08-26</v>
      </c>
      <c r="C625" t="s">
        <v>637</v>
      </c>
      <c r="D625" t="s">
        <v>13</v>
      </c>
      <c r="E625" s="2">
        <v>34</v>
      </c>
      <c r="F625" t="s">
        <v>11</v>
      </c>
      <c r="G625" s="2">
        <v>3</v>
      </c>
      <c r="H625" s="15">
        <v>300</v>
      </c>
      <c r="I625" s="14">
        <v>900</v>
      </c>
    </row>
    <row r="626" spans="1:9" x14ac:dyDescent="0.25">
      <c r="A626">
        <v>625</v>
      </c>
      <c r="B626" s="1" t="d">
        <v>2023-12-08</v>
      </c>
      <c r="C626" t="s">
        <v>638</v>
      </c>
      <c r="D626" t="s">
        <v>10</v>
      </c>
      <c r="E626" s="2">
        <v>31</v>
      </c>
      <c r="F626" t="s">
        <v>14</v>
      </c>
      <c r="G626" s="2">
        <v>1</v>
      </c>
      <c r="H626" s="15">
        <v>300</v>
      </c>
      <c r="I626" s="14">
        <v>300</v>
      </c>
    </row>
    <row r="627" spans="1:9" x14ac:dyDescent="0.25">
      <c r="A627">
        <v>626</v>
      </c>
      <c r="B627" s="1" t="d">
        <v>2023-09-29</v>
      </c>
      <c r="C627" t="s">
        <v>639</v>
      </c>
      <c r="D627" t="s">
        <v>13</v>
      </c>
      <c r="E627" s="2">
        <v>26</v>
      </c>
      <c r="F627" t="s">
        <v>14</v>
      </c>
      <c r="G627" s="2">
        <v>4</v>
      </c>
      <c r="H627" s="15">
        <v>500</v>
      </c>
      <c r="I627" s="14">
        <v>2000</v>
      </c>
    </row>
    <row r="628" spans="1:9" x14ac:dyDescent="0.25">
      <c r="A628">
        <v>627</v>
      </c>
      <c r="B628" s="1" t="d">
        <v>2023-10-14</v>
      </c>
      <c r="C628" t="s">
        <v>640</v>
      </c>
      <c r="D628" t="s">
        <v>10</v>
      </c>
      <c r="E628" s="2">
        <v>57</v>
      </c>
      <c r="F628" t="s">
        <v>14</v>
      </c>
      <c r="G628" s="2">
        <v>1</v>
      </c>
      <c r="H628" s="15">
        <v>50</v>
      </c>
      <c r="I628" s="14">
        <v>50</v>
      </c>
    </row>
    <row r="629" spans="1:9" x14ac:dyDescent="0.25">
      <c r="A629">
        <v>628</v>
      </c>
      <c r="B629" s="1" t="d">
        <v>2023-11-01</v>
      </c>
      <c r="C629" t="s">
        <v>641</v>
      </c>
      <c r="D629" t="s">
        <v>13</v>
      </c>
      <c r="E629" s="2">
        <v>19</v>
      </c>
      <c r="F629" t="s">
        <v>11</v>
      </c>
      <c r="G629" s="2">
        <v>4</v>
      </c>
      <c r="H629" s="15">
        <v>50</v>
      </c>
      <c r="I629" s="14">
        <v>200</v>
      </c>
    </row>
    <row r="630" spans="1:9" x14ac:dyDescent="0.25">
      <c r="A630">
        <v>629</v>
      </c>
      <c r="B630" s="1" t="d">
        <v>2023-06-12</v>
      </c>
      <c r="C630" t="s">
        <v>642</v>
      </c>
      <c r="D630" t="s">
        <v>10</v>
      </c>
      <c r="E630" s="2">
        <v>62</v>
      </c>
      <c r="F630" t="s">
        <v>16</v>
      </c>
      <c r="G630" s="2">
        <v>2</v>
      </c>
      <c r="H630" s="15">
        <v>25</v>
      </c>
      <c r="I630" s="14">
        <v>50</v>
      </c>
    </row>
    <row r="631" spans="1:9" x14ac:dyDescent="0.25">
      <c r="A631">
        <v>630</v>
      </c>
      <c r="B631" s="1" t="d">
        <v>2023-08-15</v>
      </c>
      <c r="C631" t="s">
        <v>643</v>
      </c>
      <c r="D631" t="s">
        <v>10</v>
      </c>
      <c r="E631" s="2">
        <v>42</v>
      </c>
      <c r="F631" t="s">
        <v>14</v>
      </c>
      <c r="G631" s="2">
        <v>2</v>
      </c>
      <c r="H631" s="15">
        <v>50</v>
      </c>
      <c r="I631" s="14">
        <v>100</v>
      </c>
    </row>
    <row r="632" spans="1:9" x14ac:dyDescent="0.25">
      <c r="A632">
        <v>631</v>
      </c>
      <c r="B632" s="1" t="d">
        <v>2023-11-10</v>
      </c>
      <c r="C632" t="s">
        <v>644</v>
      </c>
      <c r="D632" t="s">
        <v>10</v>
      </c>
      <c r="E632" s="2">
        <v>56</v>
      </c>
      <c r="F632" t="s">
        <v>16</v>
      </c>
      <c r="G632" s="2">
        <v>3</v>
      </c>
      <c r="H632" s="15">
        <v>30</v>
      </c>
      <c r="I632" s="14">
        <v>90</v>
      </c>
    </row>
    <row r="633" spans="1:9" x14ac:dyDescent="0.25">
      <c r="A633">
        <v>632</v>
      </c>
      <c r="B633" s="1" t="d">
        <v>2023-09-16</v>
      </c>
      <c r="C633" t="s">
        <v>645</v>
      </c>
      <c r="D633" t="s">
        <v>13</v>
      </c>
      <c r="E633" s="2">
        <v>26</v>
      </c>
      <c r="F633" t="s">
        <v>16</v>
      </c>
      <c r="G633" s="2">
        <v>4</v>
      </c>
      <c r="H633" s="15">
        <v>25</v>
      </c>
      <c r="I633" s="14">
        <v>100</v>
      </c>
    </row>
    <row r="634" spans="1:9" x14ac:dyDescent="0.25">
      <c r="A634">
        <v>633</v>
      </c>
      <c r="B634" s="1" t="d">
        <v>2023-08-07</v>
      </c>
      <c r="C634" t="s">
        <v>646</v>
      </c>
      <c r="D634" t="s">
        <v>10</v>
      </c>
      <c r="E634" s="2">
        <v>39</v>
      </c>
      <c r="F634" t="s">
        <v>11</v>
      </c>
      <c r="G634" s="2">
        <v>4</v>
      </c>
      <c r="H634" s="15">
        <v>30</v>
      </c>
      <c r="I634" s="14">
        <v>120</v>
      </c>
    </row>
    <row r="635" spans="1:9" x14ac:dyDescent="0.25">
      <c r="A635">
        <v>634</v>
      </c>
      <c r="B635" s="1" t="d">
        <v>2023-10-08</v>
      </c>
      <c r="C635" t="s">
        <v>647</v>
      </c>
      <c r="D635" t="s">
        <v>10</v>
      </c>
      <c r="E635" s="2">
        <v>60</v>
      </c>
      <c r="F635" t="s">
        <v>16</v>
      </c>
      <c r="G635" s="2">
        <v>4</v>
      </c>
      <c r="H635" s="15">
        <v>500</v>
      </c>
      <c r="I635" s="14">
        <v>2000</v>
      </c>
    </row>
    <row r="636" spans="1:9" x14ac:dyDescent="0.25">
      <c r="A636">
        <v>635</v>
      </c>
      <c r="B636" s="1" t="d">
        <v>2023-08-17</v>
      </c>
      <c r="C636" t="s">
        <v>648</v>
      </c>
      <c r="D636" t="s">
        <v>13</v>
      </c>
      <c r="E636" s="2">
        <v>63</v>
      </c>
      <c r="F636" t="s">
        <v>16</v>
      </c>
      <c r="G636" s="2">
        <v>3</v>
      </c>
      <c r="H636" s="15">
        <v>300</v>
      </c>
      <c r="I636" s="14">
        <v>900</v>
      </c>
    </row>
    <row r="637" spans="1:9" x14ac:dyDescent="0.25">
      <c r="A637">
        <v>636</v>
      </c>
      <c r="B637" s="1" t="d">
        <v>2023-03-23</v>
      </c>
      <c r="C637" t="s">
        <v>649</v>
      </c>
      <c r="D637" t="s">
        <v>13</v>
      </c>
      <c r="E637" s="2">
        <v>21</v>
      </c>
      <c r="F637" t="s">
        <v>11</v>
      </c>
      <c r="G637" s="2">
        <v>3</v>
      </c>
      <c r="H637" s="15">
        <v>500</v>
      </c>
      <c r="I637" s="14">
        <v>1500</v>
      </c>
    </row>
    <row r="638" spans="1:9" x14ac:dyDescent="0.25">
      <c r="A638">
        <v>637</v>
      </c>
      <c r="B638" s="1" t="d">
        <v>2023-09-01</v>
      </c>
      <c r="C638" t="s">
        <v>650</v>
      </c>
      <c r="D638" t="s">
        <v>10</v>
      </c>
      <c r="E638" s="2">
        <v>43</v>
      </c>
      <c r="F638" t="s">
        <v>14</v>
      </c>
      <c r="G638" s="2">
        <v>2</v>
      </c>
      <c r="H638" s="15">
        <v>300</v>
      </c>
      <c r="I638" s="14">
        <v>600</v>
      </c>
    </row>
    <row r="639" spans="1:9" x14ac:dyDescent="0.25">
      <c r="A639">
        <v>638</v>
      </c>
      <c r="B639" s="1" t="d">
        <v>2023-08-19</v>
      </c>
      <c r="C639" t="s">
        <v>651</v>
      </c>
      <c r="D639" t="s">
        <v>10</v>
      </c>
      <c r="E639" s="2">
        <v>46</v>
      </c>
      <c r="F639" t="s">
        <v>16</v>
      </c>
      <c r="G639" s="2">
        <v>1</v>
      </c>
      <c r="H639" s="15">
        <v>500</v>
      </c>
      <c r="I639" s="14">
        <v>500</v>
      </c>
    </row>
    <row r="640" spans="1:9" x14ac:dyDescent="0.25">
      <c r="A640">
        <v>639</v>
      </c>
      <c r="B640" s="1" t="d">
        <v>2023-05-13</v>
      </c>
      <c r="C640" t="s">
        <v>652</v>
      </c>
      <c r="D640" t="s">
        <v>13</v>
      </c>
      <c r="E640" s="2">
        <v>62</v>
      </c>
      <c r="F640" t="s">
        <v>11</v>
      </c>
      <c r="G640" s="2">
        <v>4</v>
      </c>
      <c r="H640" s="15">
        <v>50</v>
      </c>
      <c r="I640" s="14">
        <v>200</v>
      </c>
    </row>
    <row r="641" spans="1:9" x14ac:dyDescent="0.25">
      <c r="A641">
        <v>640</v>
      </c>
      <c r="B641" s="1" t="d">
        <v>2023-05-07</v>
      </c>
      <c r="C641" t="s">
        <v>653</v>
      </c>
      <c r="D641" t="s">
        <v>13</v>
      </c>
      <c r="E641" s="2">
        <v>51</v>
      </c>
      <c r="F641" t="s">
        <v>16</v>
      </c>
      <c r="G641" s="2">
        <v>4</v>
      </c>
      <c r="H641" s="15">
        <v>30</v>
      </c>
      <c r="I641" s="14">
        <v>120</v>
      </c>
    </row>
    <row r="642" spans="1:9" x14ac:dyDescent="0.25">
      <c r="A642">
        <v>641</v>
      </c>
      <c r="B642" s="1" t="d">
        <v>2023-11-23</v>
      </c>
      <c r="C642" t="s">
        <v>654</v>
      </c>
      <c r="D642" t="s">
        <v>13</v>
      </c>
      <c r="E642" s="2">
        <v>40</v>
      </c>
      <c r="F642" t="s">
        <v>16</v>
      </c>
      <c r="G642" s="2">
        <v>1</v>
      </c>
      <c r="H642" s="15">
        <v>300</v>
      </c>
      <c r="I642" s="14">
        <v>300</v>
      </c>
    </row>
    <row r="643" spans="1:9" x14ac:dyDescent="0.25">
      <c r="A643">
        <v>642</v>
      </c>
      <c r="B643" s="1" t="d">
        <v>2023-05-22</v>
      </c>
      <c r="C643" t="s">
        <v>655</v>
      </c>
      <c r="D643" t="s">
        <v>13</v>
      </c>
      <c r="E643" s="2">
        <v>54</v>
      </c>
      <c r="F643" t="s">
        <v>14</v>
      </c>
      <c r="G643" s="2">
        <v>4</v>
      </c>
      <c r="H643" s="15">
        <v>25</v>
      </c>
      <c r="I643" s="14">
        <v>100</v>
      </c>
    </row>
    <row r="644" spans="1:9" x14ac:dyDescent="0.25">
      <c r="A644">
        <v>643</v>
      </c>
      <c r="B644" s="1" t="d">
        <v>2023-09-24</v>
      </c>
      <c r="C644" t="s">
        <v>656</v>
      </c>
      <c r="D644" t="s">
        <v>13</v>
      </c>
      <c r="E644" s="2">
        <v>28</v>
      </c>
      <c r="F644" t="s">
        <v>16</v>
      </c>
      <c r="G644" s="2">
        <v>3</v>
      </c>
      <c r="H644" s="15">
        <v>30</v>
      </c>
      <c r="I644" s="14">
        <v>90</v>
      </c>
    </row>
    <row r="645" spans="1:9" x14ac:dyDescent="0.25">
      <c r="A645">
        <v>644</v>
      </c>
      <c r="B645" s="1" t="d">
        <v>2023-09-06</v>
      </c>
      <c r="C645" t="s">
        <v>657</v>
      </c>
      <c r="D645" t="s">
        <v>10</v>
      </c>
      <c r="E645" s="2">
        <v>23</v>
      </c>
      <c r="F645" t="s">
        <v>11</v>
      </c>
      <c r="G645" s="2">
        <v>3</v>
      </c>
      <c r="H645" s="15">
        <v>25</v>
      </c>
      <c r="I645" s="14">
        <v>75</v>
      </c>
    </row>
    <row r="646" spans="1:9" x14ac:dyDescent="0.25">
      <c r="A646">
        <v>645</v>
      </c>
      <c r="B646" s="1" t="d">
        <v>2023-11-17</v>
      </c>
      <c r="C646" t="s">
        <v>658</v>
      </c>
      <c r="D646" t="s">
        <v>13</v>
      </c>
      <c r="E646" s="2">
        <v>35</v>
      </c>
      <c r="F646" t="s">
        <v>16</v>
      </c>
      <c r="G646" s="2">
        <v>4</v>
      </c>
      <c r="H646" s="15">
        <v>30</v>
      </c>
      <c r="I646" s="14">
        <v>120</v>
      </c>
    </row>
    <row r="647" spans="1:9" x14ac:dyDescent="0.25">
      <c r="A647">
        <v>646</v>
      </c>
      <c r="B647" s="1" t="d">
        <v>2023-05-03</v>
      </c>
      <c r="C647" t="s">
        <v>659</v>
      </c>
      <c r="D647" t="s">
        <v>10</v>
      </c>
      <c r="E647" s="2">
        <v>38</v>
      </c>
      <c r="F647" t="s">
        <v>14</v>
      </c>
      <c r="G647" s="2">
        <v>3</v>
      </c>
      <c r="H647" s="15">
        <v>30</v>
      </c>
      <c r="I647" s="14">
        <v>90</v>
      </c>
    </row>
    <row r="648" spans="1:9" x14ac:dyDescent="0.25">
      <c r="A648">
        <v>647</v>
      </c>
      <c r="B648" s="1" t="d">
        <v>2023-05-21</v>
      </c>
      <c r="C648" t="s">
        <v>660</v>
      </c>
      <c r="D648" t="s">
        <v>10</v>
      </c>
      <c r="E648" s="2">
        <v>59</v>
      </c>
      <c r="F648" t="s">
        <v>14</v>
      </c>
      <c r="G648" s="2">
        <v>3</v>
      </c>
      <c r="H648" s="15">
        <v>500</v>
      </c>
      <c r="I648" s="14">
        <v>1500</v>
      </c>
    </row>
    <row r="649" spans="1:9" x14ac:dyDescent="0.25">
      <c r="A649">
        <v>648</v>
      </c>
      <c r="B649" s="1" t="d">
        <v>2023-08-14</v>
      </c>
      <c r="C649" t="s">
        <v>661</v>
      </c>
      <c r="D649" t="s">
        <v>10</v>
      </c>
      <c r="E649" s="2">
        <v>53</v>
      </c>
      <c r="F649" t="s">
        <v>11</v>
      </c>
      <c r="G649" s="2">
        <v>4</v>
      </c>
      <c r="H649" s="15">
        <v>300</v>
      </c>
      <c r="I649" s="14">
        <v>1200</v>
      </c>
    </row>
    <row r="650" spans="1:9" x14ac:dyDescent="0.25">
      <c r="A650">
        <v>649</v>
      </c>
      <c r="B650" s="1" t="d">
        <v>2023-02-09</v>
      </c>
      <c r="C650" t="s">
        <v>662</v>
      </c>
      <c r="D650" t="s">
        <v>13</v>
      </c>
      <c r="E650" s="2">
        <v>58</v>
      </c>
      <c r="F650" t="s">
        <v>14</v>
      </c>
      <c r="G650" s="2">
        <v>2</v>
      </c>
      <c r="H650" s="15">
        <v>300</v>
      </c>
      <c r="I650" s="14">
        <v>600</v>
      </c>
    </row>
    <row r="651" spans="1:9" x14ac:dyDescent="0.25">
      <c r="A651">
        <v>650</v>
      </c>
      <c r="B651" s="1" t="d">
        <v>2024-01-01</v>
      </c>
      <c r="C651" t="s">
        <v>663</v>
      </c>
      <c r="D651" t="s">
        <v>10</v>
      </c>
      <c r="E651" s="2">
        <v>55</v>
      </c>
      <c r="F651" t="s">
        <v>16</v>
      </c>
      <c r="G651" s="2">
        <v>1</v>
      </c>
      <c r="H651" s="15">
        <v>30</v>
      </c>
      <c r="I651" s="14">
        <v>30</v>
      </c>
    </row>
    <row r="652" spans="1:9" x14ac:dyDescent="0.25">
      <c r="A652">
        <v>651</v>
      </c>
      <c r="B652" s="1" t="d">
        <v>2023-05-27</v>
      </c>
      <c r="C652" t="s">
        <v>664</v>
      </c>
      <c r="D652" t="s">
        <v>10</v>
      </c>
      <c r="E652" s="2">
        <v>51</v>
      </c>
      <c r="F652" t="s">
        <v>14</v>
      </c>
      <c r="G652" s="2">
        <v>3</v>
      </c>
      <c r="H652" s="15">
        <v>50</v>
      </c>
      <c r="I652" s="14">
        <v>150</v>
      </c>
    </row>
    <row r="653" spans="1:9" x14ac:dyDescent="0.25">
      <c r="A653">
        <v>652</v>
      </c>
      <c r="B653" s="1" t="d">
        <v>2023-05-01</v>
      </c>
      <c r="C653" t="s">
        <v>665</v>
      </c>
      <c r="D653" t="s">
        <v>13</v>
      </c>
      <c r="E653" s="2">
        <v>34</v>
      </c>
      <c r="F653" t="s">
        <v>11</v>
      </c>
      <c r="G653" s="2">
        <v>2</v>
      </c>
      <c r="H653" s="15">
        <v>50</v>
      </c>
      <c r="I653" s="14">
        <v>100</v>
      </c>
    </row>
    <row r="654" spans="1:9" x14ac:dyDescent="0.25">
      <c r="A654">
        <v>653</v>
      </c>
      <c r="B654" s="1" t="d">
        <v>2023-05-20</v>
      </c>
      <c r="C654" t="s">
        <v>666</v>
      </c>
      <c r="D654" t="s">
        <v>10</v>
      </c>
      <c r="E654" s="2">
        <v>54</v>
      </c>
      <c r="F654" t="s">
        <v>14</v>
      </c>
      <c r="G654" s="2">
        <v>3</v>
      </c>
      <c r="H654" s="15">
        <v>25</v>
      </c>
      <c r="I654" s="14">
        <v>75</v>
      </c>
    </row>
    <row r="655" spans="1:9" x14ac:dyDescent="0.25">
      <c r="A655">
        <v>654</v>
      </c>
      <c r="B655" s="1" t="d">
        <v>2023-06-21</v>
      </c>
      <c r="C655" t="s">
        <v>667</v>
      </c>
      <c r="D655" t="s">
        <v>10</v>
      </c>
      <c r="E655" s="2">
        <v>42</v>
      </c>
      <c r="F655" t="s">
        <v>14</v>
      </c>
      <c r="G655" s="2">
        <v>3</v>
      </c>
      <c r="H655" s="15">
        <v>25</v>
      </c>
      <c r="I655" s="14">
        <v>75</v>
      </c>
    </row>
    <row r="656" spans="1:9" x14ac:dyDescent="0.25">
      <c r="A656">
        <v>655</v>
      </c>
      <c r="B656" s="1" t="d">
        <v>2023-06-13</v>
      </c>
      <c r="C656" t="s">
        <v>668</v>
      </c>
      <c r="D656" t="s">
        <v>13</v>
      </c>
      <c r="E656" s="2">
        <v>55</v>
      </c>
      <c r="F656" t="s">
        <v>14</v>
      </c>
      <c r="G656" s="2">
        <v>1</v>
      </c>
      <c r="H656" s="15">
        <v>500</v>
      </c>
      <c r="I656" s="14">
        <v>500</v>
      </c>
    </row>
    <row r="657" spans="1:9" x14ac:dyDescent="0.25">
      <c r="A657">
        <v>656</v>
      </c>
      <c r="B657" s="1" t="d">
        <v>2023-10-04</v>
      </c>
      <c r="C657" t="s">
        <v>669</v>
      </c>
      <c r="D657" t="s">
        <v>10</v>
      </c>
      <c r="E657" s="2">
        <v>29</v>
      </c>
      <c r="F657" t="s">
        <v>11</v>
      </c>
      <c r="G657" s="2">
        <v>3</v>
      </c>
      <c r="H657" s="15">
        <v>30</v>
      </c>
      <c r="I657" s="14">
        <v>90</v>
      </c>
    </row>
    <row r="658" spans="1:9" x14ac:dyDescent="0.25">
      <c r="A658">
        <v>657</v>
      </c>
      <c r="B658" s="1" t="d">
        <v>2023-02-11</v>
      </c>
      <c r="C658" t="s">
        <v>670</v>
      </c>
      <c r="D658" t="s">
        <v>10</v>
      </c>
      <c r="E658" s="2">
        <v>40</v>
      </c>
      <c r="F658" t="s">
        <v>14</v>
      </c>
      <c r="G658" s="2">
        <v>1</v>
      </c>
      <c r="H658" s="15">
        <v>25</v>
      </c>
      <c r="I658" s="14">
        <v>25</v>
      </c>
    </row>
    <row r="659" spans="1:9" x14ac:dyDescent="0.25">
      <c r="A659">
        <v>658</v>
      </c>
      <c r="B659" s="1" t="d">
        <v>2023-03-12</v>
      </c>
      <c r="C659" t="s">
        <v>671</v>
      </c>
      <c r="D659" t="s">
        <v>10</v>
      </c>
      <c r="E659" s="2">
        <v>59</v>
      </c>
      <c r="F659" t="s">
        <v>14</v>
      </c>
      <c r="G659" s="2">
        <v>1</v>
      </c>
      <c r="H659" s="15">
        <v>25</v>
      </c>
      <c r="I659" s="14">
        <v>25</v>
      </c>
    </row>
    <row r="660" spans="1:9" x14ac:dyDescent="0.25">
      <c r="A660">
        <v>659</v>
      </c>
      <c r="B660" s="1" t="d">
        <v>2023-03-19</v>
      </c>
      <c r="C660" t="s">
        <v>672</v>
      </c>
      <c r="D660" t="s">
        <v>13</v>
      </c>
      <c r="E660" s="2">
        <v>39</v>
      </c>
      <c r="F660" t="s">
        <v>16</v>
      </c>
      <c r="G660" s="2">
        <v>1</v>
      </c>
      <c r="H660" s="15">
        <v>30</v>
      </c>
      <c r="I660" s="14">
        <v>30</v>
      </c>
    </row>
    <row r="661" spans="1:9" x14ac:dyDescent="0.25">
      <c r="A661">
        <v>660</v>
      </c>
      <c r="B661" s="1" t="d">
        <v>2023-04-29</v>
      </c>
      <c r="C661" t="s">
        <v>673</v>
      </c>
      <c r="D661" t="s">
        <v>13</v>
      </c>
      <c r="E661" s="2">
        <v>38</v>
      </c>
      <c r="F661" t="s">
        <v>11</v>
      </c>
      <c r="G661" s="2">
        <v>2</v>
      </c>
      <c r="H661" s="15">
        <v>500</v>
      </c>
      <c r="I661" s="14">
        <v>1000</v>
      </c>
    </row>
    <row r="662" spans="1:9" x14ac:dyDescent="0.25">
      <c r="A662">
        <v>661</v>
      </c>
      <c r="B662" s="1" t="d">
        <v>2023-07-16</v>
      </c>
      <c r="C662" t="s">
        <v>674</v>
      </c>
      <c r="D662" t="s">
        <v>13</v>
      </c>
      <c r="E662" s="2">
        <v>44</v>
      </c>
      <c r="F662" t="s">
        <v>14</v>
      </c>
      <c r="G662" s="2">
        <v>4</v>
      </c>
      <c r="H662" s="15">
        <v>25</v>
      </c>
      <c r="I662" s="14">
        <v>100</v>
      </c>
    </row>
    <row r="663" spans="1:9" x14ac:dyDescent="0.25">
      <c r="A663">
        <v>662</v>
      </c>
      <c r="B663" s="1" t="d">
        <v>2023-12-22</v>
      </c>
      <c r="C663" t="s">
        <v>675</v>
      </c>
      <c r="D663" t="s">
        <v>10</v>
      </c>
      <c r="E663" s="2">
        <v>48</v>
      </c>
      <c r="F663" t="s">
        <v>11</v>
      </c>
      <c r="G663" s="2">
        <v>2</v>
      </c>
      <c r="H663" s="15">
        <v>500</v>
      </c>
      <c r="I663" s="14">
        <v>1000</v>
      </c>
    </row>
    <row r="664" spans="1:9" x14ac:dyDescent="0.25">
      <c r="A664">
        <v>663</v>
      </c>
      <c r="B664" s="1" t="d">
        <v>2023-03-20</v>
      </c>
      <c r="C664" t="s">
        <v>676</v>
      </c>
      <c r="D664" t="s">
        <v>10</v>
      </c>
      <c r="E664" s="2">
        <v>23</v>
      </c>
      <c r="F664" t="s">
        <v>14</v>
      </c>
      <c r="G664" s="2">
        <v>4</v>
      </c>
      <c r="H664" s="15">
        <v>300</v>
      </c>
      <c r="I664" s="14">
        <v>1200</v>
      </c>
    </row>
    <row r="665" spans="1:9" x14ac:dyDescent="0.25">
      <c r="A665">
        <v>664</v>
      </c>
      <c r="B665" s="1" t="d">
        <v>2023-12-28</v>
      </c>
      <c r="C665" t="s">
        <v>677</v>
      </c>
      <c r="D665" t="s">
        <v>13</v>
      </c>
      <c r="E665" s="2">
        <v>44</v>
      </c>
      <c r="F665" t="s">
        <v>14</v>
      </c>
      <c r="G665" s="2">
        <v>4</v>
      </c>
      <c r="H665" s="15">
        <v>500</v>
      </c>
      <c r="I665" s="14">
        <v>2000</v>
      </c>
    </row>
    <row r="666" spans="1:9" x14ac:dyDescent="0.25">
      <c r="A666">
        <v>665</v>
      </c>
      <c r="B666" s="1" t="d">
        <v>2023-04-20</v>
      </c>
      <c r="C666" t="s">
        <v>678</v>
      </c>
      <c r="D666" t="s">
        <v>10</v>
      </c>
      <c r="E666" s="2">
        <v>57</v>
      </c>
      <c r="F666" t="s">
        <v>14</v>
      </c>
      <c r="G666" s="2">
        <v>1</v>
      </c>
      <c r="H666" s="15">
        <v>50</v>
      </c>
      <c r="I666" s="14">
        <v>50</v>
      </c>
    </row>
    <row r="667" spans="1:9" x14ac:dyDescent="0.25">
      <c r="A667">
        <v>666</v>
      </c>
      <c r="B667" s="1" t="d">
        <v>2023-02-02</v>
      </c>
      <c r="C667" t="s">
        <v>679</v>
      </c>
      <c r="D667" t="s">
        <v>10</v>
      </c>
      <c r="E667" s="2">
        <v>51</v>
      </c>
      <c r="F667" t="s">
        <v>16</v>
      </c>
      <c r="G667" s="2">
        <v>3</v>
      </c>
      <c r="H667" s="15">
        <v>50</v>
      </c>
      <c r="I667" s="14">
        <v>150</v>
      </c>
    </row>
    <row r="668" spans="1:9" x14ac:dyDescent="0.25">
      <c r="A668">
        <v>667</v>
      </c>
      <c r="B668" s="1" t="d">
        <v>2023-08-01</v>
      </c>
      <c r="C668" t="s">
        <v>680</v>
      </c>
      <c r="D668" t="s">
        <v>13</v>
      </c>
      <c r="E668" s="2">
        <v>29</v>
      </c>
      <c r="F668" t="s">
        <v>16</v>
      </c>
      <c r="G668" s="2">
        <v>1</v>
      </c>
      <c r="H668" s="15">
        <v>500</v>
      </c>
      <c r="I668" s="14">
        <v>500</v>
      </c>
    </row>
    <row r="669" spans="1:9" x14ac:dyDescent="0.25">
      <c r="A669">
        <v>668</v>
      </c>
      <c r="B669" s="1" t="d">
        <v>2023-07-28</v>
      </c>
      <c r="C669" t="s">
        <v>681</v>
      </c>
      <c r="D669" t="s">
        <v>13</v>
      </c>
      <c r="E669" s="2">
        <v>62</v>
      </c>
      <c r="F669" t="s">
        <v>16</v>
      </c>
      <c r="G669" s="2">
        <v>3</v>
      </c>
      <c r="H669" s="15">
        <v>50</v>
      </c>
      <c r="I669" s="14">
        <v>150</v>
      </c>
    </row>
    <row r="670" spans="1:9" x14ac:dyDescent="0.25">
      <c r="A670">
        <v>669</v>
      </c>
      <c r="B670" s="1" t="d">
        <v>2023-06-19</v>
      </c>
      <c r="C670" t="s">
        <v>682</v>
      </c>
      <c r="D670" t="s">
        <v>10</v>
      </c>
      <c r="E670" s="2">
        <v>24</v>
      </c>
      <c r="F670" t="s">
        <v>11</v>
      </c>
      <c r="G670" s="2">
        <v>4</v>
      </c>
      <c r="H670" s="15">
        <v>300</v>
      </c>
      <c r="I670" s="14">
        <v>1200</v>
      </c>
    </row>
    <row r="671" spans="1:9" x14ac:dyDescent="0.25">
      <c r="A671">
        <v>670</v>
      </c>
      <c r="B671" s="1" t="d">
        <v>2023-10-05</v>
      </c>
      <c r="C671" t="s">
        <v>683</v>
      </c>
      <c r="D671" t="s">
        <v>10</v>
      </c>
      <c r="E671" s="2">
        <v>27</v>
      </c>
      <c r="F671" t="s">
        <v>11</v>
      </c>
      <c r="G671" s="2">
        <v>1</v>
      </c>
      <c r="H671" s="15">
        <v>30</v>
      </c>
      <c r="I671" s="14">
        <v>30</v>
      </c>
    </row>
    <row r="672" spans="1:9" x14ac:dyDescent="0.25">
      <c r="A672">
        <v>671</v>
      </c>
      <c r="B672" s="1" t="d">
        <v>2023-08-27</v>
      </c>
      <c r="C672" t="s">
        <v>684</v>
      </c>
      <c r="D672" t="s">
        <v>10</v>
      </c>
      <c r="E672" s="2">
        <v>62</v>
      </c>
      <c r="F672" t="s">
        <v>16</v>
      </c>
      <c r="G672" s="2">
        <v>3</v>
      </c>
      <c r="H672" s="15">
        <v>50</v>
      </c>
      <c r="I672" s="14">
        <v>150</v>
      </c>
    </row>
    <row r="673" spans="1:9" x14ac:dyDescent="0.25">
      <c r="A673">
        <v>672</v>
      </c>
      <c r="B673" s="1" t="d">
        <v>2023-08-01</v>
      </c>
      <c r="C673" t="s">
        <v>685</v>
      </c>
      <c r="D673" t="s">
        <v>13</v>
      </c>
      <c r="E673" s="2">
        <v>34</v>
      </c>
      <c r="F673" t="s">
        <v>11</v>
      </c>
      <c r="G673" s="2">
        <v>2</v>
      </c>
      <c r="H673" s="15">
        <v>50</v>
      </c>
      <c r="I673" s="14">
        <v>100</v>
      </c>
    </row>
    <row r="674" spans="1:9" x14ac:dyDescent="0.25">
      <c r="A674">
        <v>673</v>
      </c>
      <c r="B674" s="1" t="d">
        <v>2023-02-01</v>
      </c>
      <c r="C674" t="s">
        <v>686</v>
      </c>
      <c r="D674" t="s">
        <v>13</v>
      </c>
      <c r="E674" s="2">
        <v>43</v>
      </c>
      <c r="F674" t="s">
        <v>14</v>
      </c>
      <c r="G674" s="2">
        <v>3</v>
      </c>
      <c r="H674" s="15">
        <v>500</v>
      </c>
      <c r="I674" s="14">
        <v>1500</v>
      </c>
    </row>
    <row r="675" spans="1:9" x14ac:dyDescent="0.25">
      <c r="A675">
        <v>674</v>
      </c>
      <c r="B675" s="1" t="d">
        <v>2023-04-16</v>
      </c>
      <c r="C675" t="s">
        <v>687</v>
      </c>
      <c r="D675" t="s">
        <v>13</v>
      </c>
      <c r="E675" s="2">
        <v>38</v>
      </c>
      <c r="F675" t="s">
        <v>14</v>
      </c>
      <c r="G675" s="2">
        <v>1</v>
      </c>
      <c r="H675" s="15">
        <v>300</v>
      </c>
      <c r="I675" s="14">
        <v>300</v>
      </c>
    </row>
    <row r="676" spans="1:9" x14ac:dyDescent="0.25">
      <c r="A676">
        <v>675</v>
      </c>
      <c r="B676" s="1" t="d">
        <v>2023-08-04</v>
      </c>
      <c r="C676" t="s">
        <v>688</v>
      </c>
      <c r="D676" t="s">
        <v>13</v>
      </c>
      <c r="E676" s="2">
        <v>45</v>
      </c>
      <c r="F676" t="s">
        <v>14</v>
      </c>
      <c r="G676" s="2">
        <v>2</v>
      </c>
      <c r="H676" s="15">
        <v>30</v>
      </c>
      <c r="I676" s="14">
        <v>60</v>
      </c>
    </row>
    <row r="677" spans="1:9" x14ac:dyDescent="0.25">
      <c r="A677">
        <v>676</v>
      </c>
      <c r="B677" s="1" t="d">
        <v>2023-07-19</v>
      </c>
      <c r="C677" t="s">
        <v>689</v>
      </c>
      <c r="D677" t="s">
        <v>10</v>
      </c>
      <c r="E677" s="2">
        <v>63</v>
      </c>
      <c r="F677" t="s">
        <v>16</v>
      </c>
      <c r="G677" s="2">
        <v>3</v>
      </c>
      <c r="H677" s="15">
        <v>500</v>
      </c>
      <c r="I677" s="14">
        <v>1500</v>
      </c>
    </row>
    <row r="678" spans="1:9" x14ac:dyDescent="0.25">
      <c r="A678">
        <v>677</v>
      </c>
      <c r="B678" s="1" t="d">
        <v>2023-10-27</v>
      </c>
      <c r="C678" t="s">
        <v>690</v>
      </c>
      <c r="D678" t="s">
        <v>13</v>
      </c>
      <c r="E678" s="2">
        <v>19</v>
      </c>
      <c r="F678" t="s">
        <v>11</v>
      </c>
      <c r="G678" s="2">
        <v>3</v>
      </c>
      <c r="H678" s="15">
        <v>500</v>
      </c>
      <c r="I678" s="14">
        <v>1500</v>
      </c>
    </row>
    <row r="679" spans="1:9" x14ac:dyDescent="0.25">
      <c r="A679">
        <v>678</v>
      </c>
      <c r="B679" s="1" t="d">
        <v>2023-12-23</v>
      </c>
      <c r="C679" t="s">
        <v>691</v>
      </c>
      <c r="D679" t="s">
        <v>13</v>
      </c>
      <c r="E679" s="2">
        <v>60</v>
      </c>
      <c r="F679" t="s">
        <v>16</v>
      </c>
      <c r="G679" s="2">
        <v>3</v>
      </c>
      <c r="H679" s="15">
        <v>300</v>
      </c>
      <c r="I679" s="14">
        <v>900</v>
      </c>
    </row>
    <row r="680" spans="1:9" x14ac:dyDescent="0.25">
      <c r="A680">
        <v>679</v>
      </c>
      <c r="B680" s="1" t="d">
        <v>2023-01-11</v>
      </c>
      <c r="C680" t="s">
        <v>692</v>
      </c>
      <c r="D680" t="s">
        <v>13</v>
      </c>
      <c r="E680" s="2">
        <v>18</v>
      </c>
      <c r="F680" t="s">
        <v>11</v>
      </c>
      <c r="G680" s="2">
        <v>3</v>
      </c>
      <c r="H680" s="15">
        <v>30</v>
      </c>
      <c r="I680" s="14">
        <v>90</v>
      </c>
    </row>
    <row r="681" spans="1:9" x14ac:dyDescent="0.25">
      <c r="A681">
        <v>680</v>
      </c>
      <c r="B681" s="1" t="d">
        <v>2023-10-22</v>
      </c>
      <c r="C681" t="s">
        <v>693</v>
      </c>
      <c r="D681" t="s">
        <v>13</v>
      </c>
      <c r="E681" s="2">
        <v>53</v>
      </c>
      <c r="F681" t="s">
        <v>14</v>
      </c>
      <c r="G681" s="2">
        <v>3</v>
      </c>
      <c r="H681" s="15">
        <v>300</v>
      </c>
      <c r="I681" s="14">
        <v>900</v>
      </c>
    </row>
    <row r="682" spans="1:9" x14ac:dyDescent="0.25">
      <c r="A682">
        <v>681</v>
      </c>
      <c r="B682" s="1" t="d">
        <v>2023-07-14</v>
      </c>
      <c r="C682" t="s">
        <v>694</v>
      </c>
      <c r="D682" t="s">
        <v>13</v>
      </c>
      <c r="E682" s="2">
        <v>43</v>
      </c>
      <c r="F682" t="s">
        <v>16</v>
      </c>
      <c r="G682" s="2">
        <v>2</v>
      </c>
      <c r="H682" s="15">
        <v>30</v>
      </c>
      <c r="I682" s="14">
        <v>60</v>
      </c>
    </row>
    <row r="683" spans="1:9" x14ac:dyDescent="0.25">
      <c r="A683">
        <v>682</v>
      </c>
      <c r="B683" s="1" t="d">
        <v>2023-09-02</v>
      </c>
      <c r="C683" t="s">
        <v>695</v>
      </c>
      <c r="D683" t="s">
        <v>10</v>
      </c>
      <c r="E683" s="2">
        <v>46</v>
      </c>
      <c r="F683" t="s">
        <v>11</v>
      </c>
      <c r="G683" s="2">
        <v>4</v>
      </c>
      <c r="H683" s="15">
        <v>300</v>
      </c>
      <c r="I683" s="14">
        <v>1200</v>
      </c>
    </row>
    <row r="684" spans="1:9" x14ac:dyDescent="0.25">
      <c r="A684">
        <v>683</v>
      </c>
      <c r="B684" s="1" t="d">
        <v>2023-01-04</v>
      </c>
      <c r="C684" t="s">
        <v>696</v>
      </c>
      <c r="D684" t="s">
        <v>10</v>
      </c>
      <c r="E684" s="2">
        <v>38</v>
      </c>
      <c r="F684" t="s">
        <v>11</v>
      </c>
      <c r="G684" s="2">
        <v>2</v>
      </c>
      <c r="H684" s="15">
        <v>500</v>
      </c>
      <c r="I684" s="14">
        <v>1000</v>
      </c>
    </row>
    <row r="685" spans="1:9" x14ac:dyDescent="0.25">
      <c r="A685">
        <v>684</v>
      </c>
      <c r="B685" s="1" t="d">
        <v>2023-06-30</v>
      </c>
      <c r="C685" t="s">
        <v>697</v>
      </c>
      <c r="D685" t="s">
        <v>13</v>
      </c>
      <c r="E685" s="2">
        <v>28</v>
      </c>
      <c r="F685" t="s">
        <v>14</v>
      </c>
      <c r="G685" s="2">
        <v>2</v>
      </c>
      <c r="H685" s="15">
        <v>500</v>
      </c>
      <c r="I685" s="14">
        <v>1000</v>
      </c>
    </row>
    <row r="686" spans="1:9" x14ac:dyDescent="0.25">
      <c r="A686">
        <v>685</v>
      </c>
      <c r="B686" s="1" t="d">
        <v>2023-06-02</v>
      </c>
      <c r="C686" t="s">
        <v>698</v>
      </c>
      <c r="D686" t="s">
        <v>10</v>
      </c>
      <c r="E686" s="2">
        <v>57</v>
      </c>
      <c r="F686" t="s">
        <v>16</v>
      </c>
      <c r="G686" s="2">
        <v>2</v>
      </c>
      <c r="H686" s="15">
        <v>25</v>
      </c>
      <c r="I686" s="14">
        <v>50</v>
      </c>
    </row>
    <row r="687" spans="1:9" x14ac:dyDescent="0.25">
      <c r="A687">
        <v>686</v>
      </c>
      <c r="B687" s="1" t="d">
        <v>2023-07-19</v>
      </c>
      <c r="C687" t="s">
        <v>699</v>
      </c>
      <c r="D687" t="s">
        <v>13</v>
      </c>
      <c r="E687" s="2">
        <v>28</v>
      </c>
      <c r="F687" t="s">
        <v>16</v>
      </c>
      <c r="G687" s="2">
        <v>4</v>
      </c>
      <c r="H687" s="15">
        <v>50</v>
      </c>
      <c r="I687" s="14">
        <v>200</v>
      </c>
    </row>
    <row r="688" spans="1:9" x14ac:dyDescent="0.25">
      <c r="A688">
        <v>687</v>
      </c>
      <c r="B688" s="1" t="d">
        <v>2023-08-03</v>
      </c>
      <c r="C688" t="s">
        <v>700</v>
      </c>
      <c r="D688" t="s">
        <v>13</v>
      </c>
      <c r="E688" s="2">
        <v>53</v>
      </c>
      <c r="F688" t="s">
        <v>16</v>
      </c>
      <c r="G688" s="2">
        <v>1</v>
      </c>
      <c r="H688" s="15">
        <v>300</v>
      </c>
      <c r="I688" s="14">
        <v>300</v>
      </c>
    </row>
    <row r="689" spans="1:9" x14ac:dyDescent="0.25">
      <c r="A689">
        <v>688</v>
      </c>
      <c r="B689" s="1" t="d">
        <v>2023-10-03</v>
      </c>
      <c r="C689" t="s">
        <v>701</v>
      </c>
      <c r="D689" t="s">
        <v>10</v>
      </c>
      <c r="E689" s="2">
        <v>56</v>
      </c>
      <c r="F689" t="s">
        <v>14</v>
      </c>
      <c r="G689" s="2">
        <v>4</v>
      </c>
      <c r="H689" s="15">
        <v>25</v>
      </c>
      <c r="I689" s="14">
        <v>100</v>
      </c>
    </row>
    <row r="690" spans="1:9" x14ac:dyDescent="0.25">
      <c r="A690">
        <v>689</v>
      </c>
      <c r="B690" s="1" t="d">
        <v>2023-10-07</v>
      </c>
      <c r="C690" t="s">
        <v>702</v>
      </c>
      <c r="D690" t="s">
        <v>10</v>
      </c>
      <c r="E690" s="2">
        <v>57</v>
      </c>
      <c r="F690" t="s">
        <v>16</v>
      </c>
      <c r="G690" s="2">
        <v>2</v>
      </c>
      <c r="H690" s="15">
        <v>50</v>
      </c>
      <c r="I690" s="14">
        <v>100</v>
      </c>
    </row>
    <row r="691" spans="1:9" x14ac:dyDescent="0.25">
      <c r="A691">
        <v>690</v>
      </c>
      <c r="B691" s="1" t="d">
        <v>2023-11-05</v>
      </c>
      <c r="C691" t="s">
        <v>703</v>
      </c>
      <c r="D691" t="s">
        <v>13</v>
      </c>
      <c r="E691" s="2">
        <v>52</v>
      </c>
      <c r="F691" t="s">
        <v>14</v>
      </c>
      <c r="G691" s="2">
        <v>3</v>
      </c>
      <c r="H691" s="15">
        <v>300</v>
      </c>
      <c r="I691" s="14">
        <v>900</v>
      </c>
    </row>
    <row r="692" spans="1:9" x14ac:dyDescent="0.25">
      <c r="A692">
        <v>691</v>
      </c>
      <c r="B692" s="1" t="d">
        <v>2023-04-23</v>
      </c>
      <c r="C692" t="s">
        <v>704</v>
      </c>
      <c r="D692" t="s">
        <v>13</v>
      </c>
      <c r="E692" s="2">
        <v>51</v>
      </c>
      <c r="F692" t="s">
        <v>14</v>
      </c>
      <c r="G692" s="2">
        <v>3</v>
      </c>
      <c r="H692" s="15">
        <v>30</v>
      </c>
      <c r="I692" s="14">
        <v>90</v>
      </c>
    </row>
    <row r="693" spans="1:9" x14ac:dyDescent="0.25">
      <c r="A693">
        <v>692</v>
      </c>
      <c r="B693" s="1" t="d">
        <v>2023-09-07</v>
      </c>
      <c r="C693" t="s">
        <v>705</v>
      </c>
      <c r="D693" t="s">
        <v>13</v>
      </c>
      <c r="E693" s="2">
        <v>64</v>
      </c>
      <c r="F693" t="s">
        <v>14</v>
      </c>
      <c r="G693" s="2">
        <v>2</v>
      </c>
      <c r="H693" s="15">
        <v>50</v>
      </c>
      <c r="I693" s="14">
        <v>100</v>
      </c>
    </row>
    <row r="694" spans="1:9" x14ac:dyDescent="0.25">
      <c r="A694">
        <v>693</v>
      </c>
      <c r="B694" s="1" t="d">
        <v>2023-04-23</v>
      </c>
      <c r="C694" t="s">
        <v>706</v>
      </c>
      <c r="D694" t="s">
        <v>10</v>
      </c>
      <c r="E694" s="2">
        <v>41</v>
      </c>
      <c r="F694" t="s">
        <v>11</v>
      </c>
      <c r="G694" s="2">
        <v>3</v>
      </c>
      <c r="H694" s="15">
        <v>500</v>
      </c>
      <c r="I694" s="14">
        <v>1500</v>
      </c>
    </row>
    <row r="695" spans="1:9" x14ac:dyDescent="0.25">
      <c r="A695">
        <v>694</v>
      </c>
      <c r="B695" s="1" t="d">
        <v>2023-05-20</v>
      </c>
      <c r="C695" t="s">
        <v>707</v>
      </c>
      <c r="D695" t="s">
        <v>13</v>
      </c>
      <c r="E695" s="2">
        <v>39</v>
      </c>
      <c r="F695" t="s">
        <v>16</v>
      </c>
      <c r="G695" s="2">
        <v>2</v>
      </c>
      <c r="H695" s="15">
        <v>25</v>
      </c>
      <c r="I695" s="14">
        <v>50</v>
      </c>
    </row>
    <row r="696" spans="1:9" x14ac:dyDescent="0.25">
      <c r="A696">
        <v>695</v>
      </c>
      <c r="B696" s="1" t="d">
        <v>2023-08-12</v>
      </c>
      <c r="C696" t="s">
        <v>708</v>
      </c>
      <c r="D696" t="s">
        <v>13</v>
      </c>
      <c r="E696" s="2">
        <v>22</v>
      </c>
      <c r="F696" t="s">
        <v>16</v>
      </c>
      <c r="G696" s="2">
        <v>3</v>
      </c>
      <c r="H696" s="15">
        <v>50</v>
      </c>
      <c r="I696" s="14">
        <v>150</v>
      </c>
    </row>
    <row r="697" spans="1:9" x14ac:dyDescent="0.25">
      <c r="A697">
        <v>696</v>
      </c>
      <c r="B697" s="1" t="d">
        <v>2023-09-06</v>
      </c>
      <c r="C697" t="s">
        <v>709</v>
      </c>
      <c r="D697" t="s">
        <v>13</v>
      </c>
      <c r="E697" s="2">
        <v>50</v>
      </c>
      <c r="F697" t="s">
        <v>14</v>
      </c>
      <c r="G697" s="2">
        <v>4</v>
      </c>
      <c r="H697" s="15">
        <v>50</v>
      </c>
      <c r="I697" s="14">
        <v>200</v>
      </c>
    </row>
    <row r="698" spans="1:9" x14ac:dyDescent="0.25">
      <c r="A698">
        <v>697</v>
      </c>
      <c r="B698" s="1" t="d">
        <v>2023-01-15</v>
      </c>
      <c r="C698" t="s">
        <v>710</v>
      </c>
      <c r="D698" t="s">
        <v>10</v>
      </c>
      <c r="E698" s="2">
        <v>53</v>
      </c>
      <c r="F698" t="s">
        <v>14</v>
      </c>
      <c r="G698" s="2">
        <v>1</v>
      </c>
      <c r="H698" s="15">
        <v>500</v>
      </c>
      <c r="I698" s="14">
        <v>500</v>
      </c>
    </row>
    <row r="699" spans="1:9" x14ac:dyDescent="0.25">
      <c r="A699">
        <v>698</v>
      </c>
      <c r="B699" s="1" t="d">
        <v>2023-07-19</v>
      </c>
      <c r="C699" t="s">
        <v>711</v>
      </c>
      <c r="D699" t="s">
        <v>13</v>
      </c>
      <c r="E699" s="2">
        <v>64</v>
      </c>
      <c r="F699" t="s">
        <v>16</v>
      </c>
      <c r="G699" s="2">
        <v>1</v>
      </c>
      <c r="H699" s="15">
        <v>300</v>
      </c>
      <c r="I699" s="14">
        <v>300</v>
      </c>
    </row>
    <row r="700" spans="1:9" x14ac:dyDescent="0.25">
      <c r="A700">
        <v>699</v>
      </c>
      <c r="B700" s="1" t="d">
        <v>2023-06-22</v>
      </c>
      <c r="C700" t="s">
        <v>712</v>
      </c>
      <c r="D700" t="s">
        <v>13</v>
      </c>
      <c r="E700" s="2">
        <v>37</v>
      </c>
      <c r="F700" t="s">
        <v>14</v>
      </c>
      <c r="G700" s="2">
        <v>4</v>
      </c>
      <c r="H700" s="15">
        <v>30</v>
      </c>
      <c r="I700" s="14">
        <v>120</v>
      </c>
    </row>
    <row r="701" spans="1:9" x14ac:dyDescent="0.25">
      <c r="A701">
        <v>700</v>
      </c>
      <c r="B701" s="1" t="d">
        <v>2023-12-09</v>
      </c>
      <c r="C701" t="s">
        <v>713</v>
      </c>
      <c r="D701" t="s">
        <v>10</v>
      </c>
      <c r="E701" s="2">
        <v>36</v>
      </c>
      <c r="F701" t="s">
        <v>16</v>
      </c>
      <c r="G701" s="2">
        <v>4</v>
      </c>
      <c r="H701" s="15">
        <v>500</v>
      </c>
      <c r="I701" s="14">
        <v>2000</v>
      </c>
    </row>
    <row r="702" spans="1:9" x14ac:dyDescent="0.25">
      <c r="A702">
        <v>701</v>
      </c>
      <c r="B702" s="1" t="d">
        <v>2023-12-14</v>
      </c>
      <c r="C702" t="s">
        <v>714</v>
      </c>
      <c r="D702" t="s">
        <v>13</v>
      </c>
      <c r="E702" s="2">
        <v>52</v>
      </c>
      <c r="F702" t="s">
        <v>11</v>
      </c>
      <c r="G702" s="2">
        <v>2</v>
      </c>
      <c r="H702" s="15">
        <v>30</v>
      </c>
      <c r="I702" s="14">
        <v>60</v>
      </c>
    </row>
    <row r="703" spans="1:9" x14ac:dyDescent="0.25">
      <c r="A703">
        <v>702</v>
      </c>
      <c r="B703" s="1" t="d">
        <v>2023-07-27</v>
      </c>
      <c r="C703" t="s">
        <v>715</v>
      </c>
      <c r="D703" t="s">
        <v>13</v>
      </c>
      <c r="E703" s="2">
        <v>60</v>
      </c>
      <c r="F703" t="s">
        <v>14</v>
      </c>
      <c r="G703" s="2">
        <v>2</v>
      </c>
      <c r="H703" s="15">
        <v>300</v>
      </c>
      <c r="I703" s="14">
        <v>600</v>
      </c>
    </row>
    <row r="704" spans="1:9" x14ac:dyDescent="0.25">
      <c r="A704">
        <v>703</v>
      </c>
      <c r="B704" s="1" t="d">
        <v>2023-03-26</v>
      </c>
      <c r="C704" t="s">
        <v>716</v>
      </c>
      <c r="D704" t="s">
        <v>10</v>
      </c>
      <c r="E704" s="2">
        <v>34</v>
      </c>
      <c r="F704" t="s">
        <v>16</v>
      </c>
      <c r="G704" s="2">
        <v>2</v>
      </c>
      <c r="H704" s="15">
        <v>50</v>
      </c>
      <c r="I704" s="14">
        <v>100</v>
      </c>
    </row>
    <row r="705" spans="1:9" x14ac:dyDescent="0.25">
      <c r="A705">
        <v>704</v>
      </c>
      <c r="B705" s="1" t="d">
        <v>2023-08-28</v>
      </c>
      <c r="C705" t="s">
        <v>717</v>
      </c>
      <c r="D705" t="s">
        <v>13</v>
      </c>
      <c r="E705" s="2">
        <v>62</v>
      </c>
      <c r="F705" t="s">
        <v>14</v>
      </c>
      <c r="G705" s="2">
        <v>3</v>
      </c>
      <c r="H705" s="15">
        <v>30</v>
      </c>
      <c r="I705" s="14">
        <v>90</v>
      </c>
    </row>
    <row r="706" spans="1:9" x14ac:dyDescent="0.25">
      <c r="A706">
        <v>705</v>
      </c>
      <c r="B706" s="1" t="d">
        <v>2023-03-07</v>
      </c>
      <c r="C706" t="s">
        <v>718</v>
      </c>
      <c r="D706" t="s">
        <v>10</v>
      </c>
      <c r="E706" s="2">
        <v>60</v>
      </c>
      <c r="F706" t="s">
        <v>16</v>
      </c>
      <c r="G706" s="2">
        <v>2</v>
      </c>
      <c r="H706" s="15">
        <v>25</v>
      </c>
      <c r="I706" s="14">
        <v>50</v>
      </c>
    </row>
    <row r="707" spans="1:9" x14ac:dyDescent="0.25">
      <c r="A707">
        <v>706</v>
      </c>
      <c r="B707" s="1" t="d">
        <v>2023-11-15</v>
      </c>
      <c r="C707" t="s">
        <v>719</v>
      </c>
      <c r="D707" t="s">
        <v>10</v>
      </c>
      <c r="E707" s="2">
        <v>51</v>
      </c>
      <c r="F707" t="s">
        <v>16</v>
      </c>
      <c r="G707" s="2">
        <v>4</v>
      </c>
      <c r="H707" s="15">
        <v>25</v>
      </c>
      <c r="I707" s="14">
        <v>100</v>
      </c>
    </row>
    <row r="708" spans="1:9" x14ac:dyDescent="0.25">
      <c r="A708">
        <v>707</v>
      </c>
      <c r="B708" s="1" t="d">
        <v>2023-10-01</v>
      </c>
      <c r="C708" t="s">
        <v>720</v>
      </c>
      <c r="D708" t="s">
        <v>13</v>
      </c>
      <c r="E708" s="2">
        <v>26</v>
      </c>
      <c r="F708" t="s">
        <v>14</v>
      </c>
      <c r="G708" s="2">
        <v>1</v>
      </c>
      <c r="H708" s="15">
        <v>500</v>
      </c>
      <c r="I708" s="14">
        <v>500</v>
      </c>
    </row>
    <row r="709" spans="1:9" x14ac:dyDescent="0.25">
      <c r="A709">
        <v>708</v>
      </c>
      <c r="B709" s="1" t="d">
        <v>2023-01-14</v>
      </c>
      <c r="C709" t="s">
        <v>721</v>
      </c>
      <c r="D709" t="s">
        <v>13</v>
      </c>
      <c r="E709" s="2">
        <v>43</v>
      </c>
      <c r="F709" t="s">
        <v>11</v>
      </c>
      <c r="G709" s="2">
        <v>3</v>
      </c>
      <c r="H709" s="15">
        <v>300</v>
      </c>
      <c r="I709" s="14">
        <v>900</v>
      </c>
    </row>
    <row r="710" spans="1:9" x14ac:dyDescent="0.25">
      <c r="A710">
        <v>709</v>
      </c>
      <c r="B710" s="1" t="d">
        <v>2023-07-21</v>
      </c>
      <c r="C710" t="s">
        <v>722</v>
      </c>
      <c r="D710" t="s">
        <v>13</v>
      </c>
      <c r="E710" s="2">
        <v>19</v>
      </c>
      <c r="F710" t="s">
        <v>16</v>
      </c>
      <c r="G710" s="2">
        <v>2</v>
      </c>
      <c r="H710" s="15">
        <v>500</v>
      </c>
      <c r="I710" s="14">
        <v>1000</v>
      </c>
    </row>
    <row r="711" spans="1:9" x14ac:dyDescent="0.25">
      <c r="A711">
        <v>710</v>
      </c>
      <c r="B711" s="1" t="d">
        <v>2023-10-31</v>
      </c>
      <c r="C711" t="s">
        <v>723</v>
      </c>
      <c r="D711" t="s">
        <v>13</v>
      </c>
      <c r="E711" s="2">
        <v>26</v>
      </c>
      <c r="F711" t="s">
        <v>16</v>
      </c>
      <c r="G711" s="2">
        <v>3</v>
      </c>
      <c r="H711" s="15">
        <v>500</v>
      </c>
      <c r="I711" s="14">
        <v>1500</v>
      </c>
    </row>
    <row r="712" spans="1:9" x14ac:dyDescent="0.25">
      <c r="A712">
        <v>711</v>
      </c>
      <c r="B712" s="1" t="d">
        <v>2023-10-16</v>
      </c>
      <c r="C712" t="s">
        <v>724</v>
      </c>
      <c r="D712" t="s">
        <v>10</v>
      </c>
      <c r="E712" s="2">
        <v>26</v>
      </c>
      <c r="F712" t="s">
        <v>16</v>
      </c>
      <c r="G712" s="2">
        <v>3</v>
      </c>
      <c r="H712" s="15">
        <v>500</v>
      </c>
      <c r="I712" s="14">
        <v>1500</v>
      </c>
    </row>
    <row r="713" spans="1:9" x14ac:dyDescent="0.25">
      <c r="A713">
        <v>712</v>
      </c>
      <c r="B713" s="1" t="d">
        <v>2023-12-06</v>
      </c>
      <c r="C713" t="s">
        <v>725</v>
      </c>
      <c r="D713" t="s">
        <v>13</v>
      </c>
      <c r="E713" s="2">
        <v>57</v>
      </c>
      <c r="F713" t="s">
        <v>11</v>
      </c>
      <c r="G713" s="2">
        <v>2</v>
      </c>
      <c r="H713" s="15">
        <v>25</v>
      </c>
      <c r="I713" s="14">
        <v>50</v>
      </c>
    </row>
    <row r="714" spans="1:9" x14ac:dyDescent="0.25">
      <c r="A714">
        <v>713</v>
      </c>
      <c r="B714" s="1" t="d">
        <v>2023-01-14</v>
      </c>
      <c r="C714" t="s">
        <v>726</v>
      </c>
      <c r="D714" t="s">
        <v>10</v>
      </c>
      <c r="E714" s="2">
        <v>34</v>
      </c>
      <c r="F714" t="s">
        <v>11</v>
      </c>
      <c r="G714" s="2">
        <v>3</v>
      </c>
      <c r="H714" s="15">
        <v>25</v>
      </c>
      <c r="I714" s="14">
        <v>75</v>
      </c>
    </row>
    <row r="715" spans="1:9" x14ac:dyDescent="0.25">
      <c r="A715">
        <v>714</v>
      </c>
      <c r="B715" s="1" t="d">
        <v>2023-02-12</v>
      </c>
      <c r="C715" t="s">
        <v>727</v>
      </c>
      <c r="D715" t="s">
        <v>13</v>
      </c>
      <c r="E715" s="2">
        <v>18</v>
      </c>
      <c r="F715" t="s">
        <v>14</v>
      </c>
      <c r="G715" s="2">
        <v>1</v>
      </c>
      <c r="H715" s="15">
        <v>500</v>
      </c>
      <c r="I715" s="14">
        <v>500</v>
      </c>
    </row>
    <row r="716" spans="1:9" x14ac:dyDescent="0.25">
      <c r="A716">
        <v>715</v>
      </c>
      <c r="B716" s="1" t="d">
        <v>2023-11-26</v>
      </c>
      <c r="C716" t="s">
        <v>728</v>
      </c>
      <c r="D716" t="s">
        <v>13</v>
      </c>
      <c r="E716" s="2">
        <v>42</v>
      </c>
      <c r="F716" t="s">
        <v>11</v>
      </c>
      <c r="G716" s="2">
        <v>4</v>
      </c>
      <c r="H716" s="15">
        <v>25</v>
      </c>
      <c r="I716" s="14">
        <v>100</v>
      </c>
    </row>
    <row r="717" spans="1:9" x14ac:dyDescent="0.25">
      <c r="A717">
        <v>716</v>
      </c>
      <c r="B717" s="1" t="d">
        <v>2023-08-08</v>
      </c>
      <c r="C717" t="s">
        <v>729</v>
      </c>
      <c r="D717" t="s">
        <v>13</v>
      </c>
      <c r="E717" s="2">
        <v>60</v>
      </c>
      <c r="F717" t="s">
        <v>14</v>
      </c>
      <c r="G717" s="2">
        <v>4</v>
      </c>
      <c r="H717" s="15">
        <v>300</v>
      </c>
      <c r="I717" s="14">
        <v>1200</v>
      </c>
    </row>
    <row r="718" spans="1:9" x14ac:dyDescent="0.25">
      <c r="A718">
        <v>717</v>
      </c>
      <c r="B718" s="1" t="d">
        <v>2023-03-11</v>
      </c>
      <c r="C718" t="s">
        <v>730</v>
      </c>
      <c r="D718" t="s">
        <v>10</v>
      </c>
      <c r="E718" s="2">
        <v>57</v>
      </c>
      <c r="F718" t="s">
        <v>14</v>
      </c>
      <c r="G718" s="2">
        <v>1</v>
      </c>
      <c r="H718" s="15">
        <v>500</v>
      </c>
      <c r="I718" s="14">
        <v>500</v>
      </c>
    </row>
    <row r="719" spans="1:9" x14ac:dyDescent="0.25">
      <c r="A719">
        <v>718</v>
      </c>
      <c r="B719" s="1" t="d">
        <v>2023-08-25</v>
      </c>
      <c r="C719" t="s">
        <v>731</v>
      </c>
      <c r="D719" t="s">
        <v>13</v>
      </c>
      <c r="E719" s="2">
        <v>59</v>
      </c>
      <c r="F719" t="s">
        <v>11</v>
      </c>
      <c r="G719" s="2">
        <v>3</v>
      </c>
      <c r="H719" s="15">
        <v>25</v>
      </c>
      <c r="I719" s="14">
        <v>75</v>
      </c>
    </row>
    <row r="720" spans="1:9" x14ac:dyDescent="0.25">
      <c r="A720">
        <v>719</v>
      </c>
      <c r="B720" s="1" t="d">
        <v>2023-04-04</v>
      </c>
      <c r="C720" t="s">
        <v>732</v>
      </c>
      <c r="D720" t="s">
        <v>13</v>
      </c>
      <c r="E720" s="2">
        <v>42</v>
      </c>
      <c r="F720" t="s">
        <v>14</v>
      </c>
      <c r="G720" s="2">
        <v>2</v>
      </c>
      <c r="H720" s="15">
        <v>30</v>
      </c>
      <c r="I720" s="14">
        <v>60</v>
      </c>
    </row>
    <row r="721" spans="1:9" x14ac:dyDescent="0.25">
      <c r="A721">
        <v>720</v>
      </c>
      <c r="B721" s="1" t="d">
        <v>2023-01-26</v>
      </c>
      <c r="C721" t="s">
        <v>733</v>
      </c>
      <c r="D721" t="s">
        <v>13</v>
      </c>
      <c r="E721" s="2">
        <v>56</v>
      </c>
      <c r="F721" t="s">
        <v>11</v>
      </c>
      <c r="G721" s="2">
        <v>3</v>
      </c>
      <c r="H721" s="15">
        <v>500</v>
      </c>
      <c r="I721" s="14">
        <v>1500</v>
      </c>
    </row>
    <row r="722" spans="1:9" x14ac:dyDescent="0.25">
      <c r="A722">
        <v>721</v>
      </c>
      <c r="B722" s="1" t="d">
        <v>2023-05-14</v>
      </c>
      <c r="C722" t="s">
        <v>734</v>
      </c>
      <c r="D722" t="s">
        <v>13</v>
      </c>
      <c r="E722" s="2">
        <v>52</v>
      </c>
      <c r="F722" t="s">
        <v>14</v>
      </c>
      <c r="G722" s="2">
        <v>1</v>
      </c>
      <c r="H722" s="15">
        <v>500</v>
      </c>
      <c r="I722" s="14">
        <v>500</v>
      </c>
    </row>
    <row r="723" spans="1:9" x14ac:dyDescent="0.25">
      <c r="A723">
        <v>722</v>
      </c>
      <c r="B723" s="1" t="d">
        <v>2023-07-14</v>
      </c>
      <c r="C723" t="s">
        <v>735</v>
      </c>
      <c r="D723" t="s">
        <v>10</v>
      </c>
      <c r="E723" s="2">
        <v>20</v>
      </c>
      <c r="F723" t="s">
        <v>11</v>
      </c>
      <c r="G723" s="2">
        <v>3</v>
      </c>
      <c r="H723" s="15">
        <v>300</v>
      </c>
      <c r="I723" s="14">
        <v>900</v>
      </c>
    </row>
    <row r="724" spans="1:9" x14ac:dyDescent="0.25">
      <c r="A724">
        <v>723</v>
      </c>
      <c r="B724" s="1" t="d">
        <v>2023-06-17</v>
      </c>
      <c r="C724" t="s">
        <v>736</v>
      </c>
      <c r="D724" t="s">
        <v>13</v>
      </c>
      <c r="E724" s="2">
        <v>54</v>
      </c>
      <c r="F724" t="s">
        <v>11</v>
      </c>
      <c r="G724" s="2">
        <v>4</v>
      </c>
      <c r="H724" s="15">
        <v>50</v>
      </c>
      <c r="I724" s="14">
        <v>200</v>
      </c>
    </row>
    <row r="725" spans="1:9" x14ac:dyDescent="0.25">
      <c r="A725">
        <v>724</v>
      </c>
      <c r="B725" s="1" t="d">
        <v>2023-04-19</v>
      </c>
      <c r="C725" t="s">
        <v>737</v>
      </c>
      <c r="D725" t="s">
        <v>10</v>
      </c>
      <c r="E725" s="2">
        <v>61</v>
      </c>
      <c r="F725" t="s">
        <v>14</v>
      </c>
      <c r="G725" s="2">
        <v>3</v>
      </c>
      <c r="H725" s="15">
        <v>50</v>
      </c>
      <c r="I725" s="14">
        <v>150</v>
      </c>
    </row>
    <row r="726" spans="1:9" x14ac:dyDescent="0.25">
      <c r="A726">
        <v>725</v>
      </c>
      <c r="B726" s="1" t="d">
        <v>2023-08-21</v>
      </c>
      <c r="C726" t="s">
        <v>738</v>
      </c>
      <c r="D726" t="s">
        <v>10</v>
      </c>
      <c r="E726" s="2">
        <v>61</v>
      </c>
      <c r="F726" t="s">
        <v>16</v>
      </c>
      <c r="G726" s="2">
        <v>1</v>
      </c>
      <c r="H726" s="15">
        <v>300</v>
      </c>
      <c r="I726" s="14">
        <v>300</v>
      </c>
    </row>
    <row r="727" spans="1:9" x14ac:dyDescent="0.25">
      <c r="A727">
        <v>726</v>
      </c>
      <c r="B727" s="1" t="d">
        <v>2023-06-17</v>
      </c>
      <c r="C727" t="s">
        <v>739</v>
      </c>
      <c r="D727" t="s">
        <v>10</v>
      </c>
      <c r="E727" s="2">
        <v>47</v>
      </c>
      <c r="F727" t="s">
        <v>14</v>
      </c>
      <c r="G727" s="2">
        <v>4</v>
      </c>
      <c r="H727" s="15">
        <v>300</v>
      </c>
      <c r="I727" s="14">
        <v>1200</v>
      </c>
    </row>
    <row r="728" spans="1:9" x14ac:dyDescent="0.25">
      <c r="A728">
        <v>727</v>
      </c>
      <c r="B728" s="1" t="d">
        <v>2023-06-22</v>
      </c>
      <c r="C728" t="s">
        <v>740</v>
      </c>
      <c r="D728" t="s">
        <v>10</v>
      </c>
      <c r="E728" s="2">
        <v>55</v>
      </c>
      <c r="F728" t="s">
        <v>11</v>
      </c>
      <c r="G728" s="2">
        <v>3</v>
      </c>
      <c r="H728" s="15">
        <v>300</v>
      </c>
      <c r="I728" s="14">
        <v>900</v>
      </c>
    </row>
    <row r="729" spans="1:9" x14ac:dyDescent="0.25">
      <c r="A729">
        <v>728</v>
      </c>
      <c r="B729" s="1" t="d">
        <v>2023-07-14</v>
      </c>
      <c r="C729" t="s">
        <v>741</v>
      </c>
      <c r="D729" t="s">
        <v>10</v>
      </c>
      <c r="E729" s="2">
        <v>51</v>
      </c>
      <c r="F729" t="s">
        <v>16</v>
      </c>
      <c r="G729" s="2">
        <v>3</v>
      </c>
      <c r="H729" s="15">
        <v>50</v>
      </c>
      <c r="I729" s="14">
        <v>150</v>
      </c>
    </row>
    <row r="730" spans="1:9" x14ac:dyDescent="0.25">
      <c r="A730">
        <v>729</v>
      </c>
      <c r="B730" s="1" t="d">
        <v>2023-05-23</v>
      </c>
      <c r="C730" t="s">
        <v>742</v>
      </c>
      <c r="D730" t="s">
        <v>10</v>
      </c>
      <c r="E730" s="2">
        <v>29</v>
      </c>
      <c r="F730" t="s">
        <v>14</v>
      </c>
      <c r="G730" s="2">
        <v>4</v>
      </c>
      <c r="H730" s="15">
        <v>300</v>
      </c>
      <c r="I730" s="14">
        <v>1200</v>
      </c>
    </row>
    <row r="731" spans="1:9" x14ac:dyDescent="0.25">
      <c r="A731">
        <v>730</v>
      </c>
      <c r="B731" s="1" t="d">
        <v>2023-08-04</v>
      </c>
      <c r="C731" t="s">
        <v>743</v>
      </c>
      <c r="D731" t="s">
        <v>13</v>
      </c>
      <c r="E731" s="2">
        <v>36</v>
      </c>
      <c r="F731" t="s">
        <v>14</v>
      </c>
      <c r="G731" s="2">
        <v>2</v>
      </c>
      <c r="H731" s="15">
        <v>25</v>
      </c>
      <c r="I731" s="14">
        <v>50</v>
      </c>
    </row>
    <row r="732" spans="1:9" x14ac:dyDescent="0.25">
      <c r="A732">
        <v>731</v>
      </c>
      <c r="B732" s="1" t="d">
        <v>2023-05-10</v>
      </c>
      <c r="C732" t="s">
        <v>744</v>
      </c>
      <c r="D732" t="s">
        <v>10</v>
      </c>
      <c r="E732" s="2">
        <v>54</v>
      </c>
      <c r="F732" t="s">
        <v>14</v>
      </c>
      <c r="G732" s="2">
        <v>4</v>
      </c>
      <c r="H732" s="15">
        <v>500</v>
      </c>
      <c r="I732" s="14">
        <v>2000</v>
      </c>
    </row>
    <row r="733" spans="1:9" x14ac:dyDescent="0.25">
      <c r="A733">
        <v>732</v>
      </c>
      <c r="B733" s="1" t="d">
        <v>2023-02-11</v>
      </c>
      <c r="C733" t="s">
        <v>745</v>
      </c>
      <c r="D733" t="s">
        <v>10</v>
      </c>
      <c r="E733" s="2">
        <v>61</v>
      </c>
      <c r="F733" t="s">
        <v>16</v>
      </c>
      <c r="G733" s="2">
        <v>2</v>
      </c>
      <c r="H733" s="15">
        <v>500</v>
      </c>
      <c r="I733" s="14">
        <v>1000</v>
      </c>
    </row>
    <row r="734" spans="1:9" x14ac:dyDescent="0.25">
      <c r="A734">
        <v>733</v>
      </c>
      <c r="B734" s="1" t="d">
        <v>2023-08-29</v>
      </c>
      <c r="C734" t="s">
        <v>746</v>
      </c>
      <c r="D734" t="s">
        <v>10</v>
      </c>
      <c r="E734" s="2">
        <v>34</v>
      </c>
      <c r="F734" t="s">
        <v>11</v>
      </c>
      <c r="G734" s="2">
        <v>1</v>
      </c>
      <c r="H734" s="15">
        <v>30</v>
      </c>
      <c r="I734" s="14">
        <v>30</v>
      </c>
    </row>
    <row r="735" spans="1:9" x14ac:dyDescent="0.25">
      <c r="A735">
        <v>734</v>
      </c>
      <c r="B735" s="1" t="d">
        <v>2023-01-10</v>
      </c>
      <c r="C735" t="s">
        <v>747</v>
      </c>
      <c r="D735" t="s">
        <v>13</v>
      </c>
      <c r="E735" s="2">
        <v>27</v>
      </c>
      <c r="F735" t="s">
        <v>14</v>
      </c>
      <c r="G735" s="2">
        <v>1</v>
      </c>
      <c r="H735" s="15">
        <v>30</v>
      </c>
      <c r="I735" s="14">
        <v>30</v>
      </c>
    </row>
    <row r="736" spans="1:9" x14ac:dyDescent="0.25">
      <c r="A736">
        <v>735</v>
      </c>
      <c r="B736" s="1" t="d">
        <v>2023-10-04</v>
      </c>
      <c r="C736" t="s">
        <v>748</v>
      </c>
      <c r="D736" t="s">
        <v>13</v>
      </c>
      <c r="E736" s="2">
        <v>64</v>
      </c>
      <c r="F736" t="s">
        <v>14</v>
      </c>
      <c r="G736" s="2">
        <v>4</v>
      </c>
      <c r="H736" s="15">
        <v>500</v>
      </c>
      <c r="I736" s="14">
        <v>2000</v>
      </c>
    </row>
    <row r="737" spans="1:9" x14ac:dyDescent="0.25">
      <c r="A737">
        <v>736</v>
      </c>
      <c r="B737" s="1" t="d">
        <v>2023-01-27</v>
      </c>
      <c r="C737" t="s">
        <v>749</v>
      </c>
      <c r="D737" t="s">
        <v>10</v>
      </c>
      <c r="E737" s="2">
        <v>29</v>
      </c>
      <c r="F737" t="s">
        <v>14</v>
      </c>
      <c r="G737" s="2">
        <v>4</v>
      </c>
      <c r="H737" s="15">
        <v>25</v>
      </c>
      <c r="I737" s="14">
        <v>100</v>
      </c>
    </row>
    <row r="738" spans="1:9" x14ac:dyDescent="0.25">
      <c r="A738">
        <v>737</v>
      </c>
      <c r="B738" s="1" t="d">
        <v>2023-06-29</v>
      </c>
      <c r="C738" t="s">
        <v>750</v>
      </c>
      <c r="D738" t="s">
        <v>13</v>
      </c>
      <c r="E738" s="2">
        <v>33</v>
      </c>
      <c r="F738" t="s">
        <v>14</v>
      </c>
      <c r="G738" s="2">
        <v>1</v>
      </c>
      <c r="H738" s="15">
        <v>50</v>
      </c>
      <c r="I738" s="14">
        <v>50</v>
      </c>
    </row>
    <row r="739" spans="1:9" x14ac:dyDescent="0.25">
      <c r="A739">
        <v>738</v>
      </c>
      <c r="B739" s="1" t="d">
        <v>2023-04-25</v>
      </c>
      <c r="C739" t="s">
        <v>751</v>
      </c>
      <c r="D739" t="s">
        <v>10</v>
      </c>
      <c r="E739" s="2">
        <v>41</v>
      </c>
      <c r="F739" t="s">
        <v>14</v>
      </c>
      <c r="G739" s="2">
        <v>2</v>
      </c>
      <c r="H739" s="15">
        <v>50</v>
      </c>
      <c r="I739" s="14">
        <v>100</v>
      </c>
    </row>
    <row r="740" spans="1:9" x14ac:dyDescent="0.25">
      <c r="A740">
        <v>739</v>
      </c>
      <c r="B740" s="1" t="d">
        <v>2023-11-29</v>
      </c>
      <c r="C740" t="s">
        <v>752</v>
      </c>
      <c r="D740" t="s">
        <v>10</v>
      </c>
      <c r="E740" s="2">
        <v>36</v>
      </c>
      <c r="F740" t="s">
        <v>11</v>
      </c>
      <c r="G740" s="2">
        <v>1</v>
      </c>
      <c r="H740" s="15">
        <v>25</v>
      </c>
      <c r="I740" s="14">
        <v>25</v>
      </c>
    </row>
    <row r="741" spans="1:9" x14ac:dyDescent="0.25">
      <c r="A741">
        <v>740</v>
      </c>
      <c r="B741" s="1" t="d">
        <v>2023-02-05</v>
      </c>
      <c r="C741" t="s">
        <v>753</v>
      </c>
      <c r="D741" t="s">
        <v>13</v>
      </c>
      <c r="E741" s="2">
        <v>25</v>
      </c>
      <c r="F741" t="s">
        <v>11</v>
      </c>
      <c r="G741" s="2">
        <v>4</v>
      </c>
      <c r="H741" s="15">
        <v>50</v>
      </c>
      <c r="I741" s="14">
        <v>200</v>
      </c>
    </row>
    <row r="742" spans="1:9" x14ac:dyDescent="0.25">
      <c r="A742">
        <v>741</v>
      </c>
      <c r="B742" s="1" t="d">
        <v>2023-11-30</v>
      </c>
      <c r="C742" t="s">
        <v>754</v>
      </c>
      <c r="D742" t="s">
        <v>10</v>
      </c>
      <c r="E742" s="2">
        <v>48</v>
      </c>
      <c r="F742" t="s">
        <v>14</v>
      </c>
      <c r="G742" s="2">
        <v>1</v>
      </c>
      <c r="H742" s="15">
        <v>300</v>
      </c>
      <c r="I742" s="14">
        <v>300</v>
      </c>
    </row>
    <row r="743" spans="1:9" x14ac:dyDescent="0.25">
      <c r="A743">
        <v>742</v>
      </c>
      <c r="B743" s="1" t="d">
        <v>2023-01-21</v>
      </c>
      <c r="C743" t="s">
        <v>755</v>
      </c>
      <c r="D743" t="s">
        <v>13</v>
      </c>
      <c r="E743" s="2">
        <v>38</v>
      </c>
      <c r="F743" t="s">
        <v>16</v>
      </c>
      <c r="G743" s="2">
        <v>4</v>
      </c>
      <c r="H743" s="15">
        <v>500</v>
      </c>
      <c r="I743" s="14">
        <v>2000</v>
      </c>
    </row>
    <row r="744" spans="1:9" x14ac:dyDescent="0.25">
      <c r="A744">
        <v>743</v>
      </c>
      <c r="B744" s="1" t="d">
        <v>2023-01-16</v>
      </c>
      <c r="C744" t="s">
        <v>756</v>
      </c>
      <c r="D744" t="s">
        <v>13</v>
      </c>
      <c r="E744" s="2">
        <v>34</v>
      </c>
      <c r="F744" t="s">
        <v>11</v>
      </c>
      <c r="G744" s="2">
        <v>4</v>
      </c>
      <c r="H744" s="15">
        <v>500</v>
      </c>
      <c r="I744" s="14">
        <v>2000</v>
      </c>
    </row>
    <row r="745" spans="1:9" x14ac:dyDescent="0.25">
      <c r="A745">
        <v>744</v>
      </c>
      <c r="B745" s="1" t="d">
        <v>2023-05-07</v>
      </c>
      <c r="C745" t="s">
        <v>757</v>
      </c>
      <c r="D745" t="s">
        <v>10</v>
      </c>
      <c r="E745" s="2">
        <v>40</v>
      </c>
      <c r="F745" t="s">
        <v>16</v>
      </c>
      <c r="G745" s="2">
        <v>1</v>
      </c>
      <c r="H745" s="15">
        <v>25</v>
      </c>
      <c r="I745" s="14">
        <v>25</v>
      </c>
    </row>
    <row r="746" spans="1:9" x14ac:dyDescent="0.25">
      <c r="A746">
        <v>745</v>
      </c>
      <c r="B746" s="1" t="d">
        <v>2023-04-13</v>
      </c>
      <c r="C746" t="s">
        <v>758</v>
      </c>
      <c r="D746" t="s">
        <v>10</v>
      </c>
      <c r="E746" s="2">
        <v>54</v>
      </c>
      <c r="F746" t="s">
        <v>11</v>
      </c>
      <c r="G746" s="2">
        <v>2</v>
      </c>
      <c r="H746" s="15">
        <v>50</v>
      </c>
      <c r="I746" s="14">
        <v>100</v>
      </c>
    </row>
    <row r="747" spans="1:9" x14ac:dyDescent="0.25">
      <c r="A747">
        <v>746</v>
      </c>
      <c r="B747" s="1" t="d">
        <v>2023-01-11</v>
      </c>
      <c r="C747" t="s">
        <v>759</v>
      </c>
      <c r="D747" t="s">
        <v>13</v>
      </c>
      <c r="E747" s="2">
        <v>33</v>
      </c>
      <c r="F747" t="s">
        <v>14</v>
      </c>
      <c r="G747" s="2">
        <v>3</v>
      </c>
      <c r="H747" s="15">
        <v>30</v>
      </c>
      <c r="I747" s="14">
        <v>90</v>
      </c>
    </row>
    <row r="748" spans="1:9" x14ac:dyDescent="0.25">
      <c r="A748">
        <v>747</v>
      </c>
      <c r="B748" s="1" t="d">
        <v>2023-11-15</v>
      </c>
      <c r="C748" t="s">
        <v>760</v>
      </c>
      <c r="D748" t="s">
        <v>10</v>
      </c>
      <c r="E748" s="2">
        <v>23</v>
      </c>
      <c r="F748" t="s">
        <v>11</v>
      </c>
      <c r="G748" s="2">
        <v>1</v>
      </c>
      <c r="H748" s="15">
        <v>30</v>
      </c>
      <c r="I748" s="14">
        <v>30</v>
      </c>
    </row>
    <row r="749" spans="1:9" x14ac:dyDescent="0.25">
      <c r="A749">
        <v>748</v>
      </c>
      <c r="B749" s="1" t="d">
        <v>2023-03-20</v>
      </c>
      <c r="C749" t="s">
        <v>761</v>
      </c>
      <c r="D749" t="s">
        <v>10</v>
      </c>
      <c r="E749" s="2">
        <v>25</v>
      </c>
      <c r="F749" t="s">
        <v>14</v>
      </c>
      <c r="G749" s="2">
        <v>3</v>
      </c>
      <c r="H749" s="15">
        <v>50</v>
      </c>
      <c r="I749" s="14">
        <v>150</v>
      </c>
    </row>
    <row r="750" spans="1:9" x14ac:dyDescent="0.25">
      <c r="A750">
        <v>749</v>
      </c>
      <c r="B750" s="1" t="d">
        <v>2023-05-03</v>
      </c>
      <c r="C750" t="s">
        <v>762</v>
      </c>
      <c r="D750" t="s">
        <v>10</v>
      </c>
      <c r="E750" s="2">
        <v>42</v>
      </c>
      <c r="F750" t="s">
        <v>11</v>
      </c>
      <c r="G750" s="2">
        <v>1</v>
      </c>
      <c r="H750" s="15">
        <v>30</v>
      </c>
      <c r="I750" s="14">
        <v>30</v>
      </c>
    </row>
    <row r="751" spans="1:9" x14ac:dyDescent="0.25">
      <c r="A751">
        <v>750</v>
      </c>
      <c r="B751" s="1" t="d">
        <v>2023-03-06</v>
      </c>
      <c r="C751" t="s">
        <v>763</v>
      </c>
      <c r="D751" t="s">
        <v>13</v>
      </c>
      <c r="E751" s="2">
        <v>35</v>
      </c>
      <c r="F751" t="s">
        <v>14</v>
      </c>
      <c r="G751" s="2">
        <v>3</v>
      </c>
      <c r="H751" s="15">
        <v>25</v>
      </c>
      <c r="I751" s="14">
        <v>75</v>
      </c>
    </row>
    <row r="752" spans="1:9" x14ac:dyDescent="0.25">
      <c r="A752">
        <v>751</v>
      </c>
      <c r="B752" s="1" t="d">
        <v>2023-08-31</v>
      </c>
      <c r="C752" t="s">
        <v>764</v>
      </c>
      <c r="D752" t="s">
        <v>13</v>
      </c>
      <c r="E752" s="2">
        <v>42</v>
      </c>
      <c r="F752" t="s">
        <v>14</v>
      </c>
      <c r="G752" s="2">
        <v>2</v>
      </c>
      <c r="H752" s="15">
        <v>25</v>
      </c>
      <c r="I752" s="14">
        <v>50</v>
      </c>
    </row>
    <row r="753" spans="1:9" x14ac:dyDescent="0.25">
      <c r="A753">
        <v>752</v>
      </c>
      <c r="B753" s="1" t="d">
        <v>2023-12-09</v>
      </c>
      <c r="C753" t="s">
        <v>765</v>
      </c>
      <c r="D753" t="s">
        <v>10</v>
      </c>
      <c r="E753" s="2">
        <v>29</v>
      </c>
      <c r="F753" t="s">
        <v>14</v>
      </c>
      <c r="G753" s="2">
        <v>2</v>
      </c>
      <c r="H753" s="15">
        <v>50</v>
      </c>
      <c r="I753" s="14">
        <v>100</v>
      </c>
    </row>
    <row r="754" spans="1:9" x14ac:dyDescent="0.25">
      <c r="A754">
        <v>753</v>
      </c>
      <c r="B754" s="1" t="d">
        <v>2023-02-28</v>
      </c>
      <c r="C754" t="s">
        <v>766</v>
      </c>
      <c r="D754" t="s">
        <v>13</v>
      </c>
      <c r="E754" s="2">
        <v>32</v>
      </c>
      <c r="F754" t="s">
        <v>14</v>
      </c>
      <c r="G754" s="2">
        <v>1</v>
      </c>
      <c r="H754" s="15">
        <v>30</v>
      </c>
      <c r="I754" s="14">
        <v>30</v>
      </c>
    </row>
    <row r="755" spans="1:9" x14ac:dyDescent="0.25">
      <c r="A755">
        <v>754</v>
      </c>
      <c r="B755" s="1" t="d">
        <v>2023-10-16</v>
      </c>
      <c r="C755" t="s">
        <v>767</v>
      </c>
      <c r="D755" t="s">
        <v>13</v>
      </c>
      <c r="E755" s="2">
        <v>43</v>
      </c>
      <c r="F755" t="s">
        <v>16</v>
      </c>
      <c r="G755" s="2">
        <v>4</v>
      </c>
      <c r="H755" s="15">
        <v>25</v>
      </c>
      <c r="I755" s="14">
        <v>100</v>
      </c>
    </row>
    <row r="756" spans="1:9" x14ac:dyDescent="0.25">
      <c r="A756">
        <v>755</v>
      </c>
      <c r="B756" s="1" t="d">
        <v>2023-04-22</v>
      </c>
      <c r="C756" t="s">
        <v>768</v>
      </c>
      <c r="D756" t="s">
        <v>13</v>
      </c>
      <c r="E756" s="2">
        <v>58</v>
      </c>
      <c r="F756" t="s">
        <v>14</v>
      </c>
      <c r="G756" s="2">
        <v>3</v>
      </c>
      <c r="H756" s="15">
        <v>25</v>
      </c>
      <c r="I756" s="14">
        <v>75</v>
      </c>
    </row>
    <row r="757" spans="1:9" x14ac:dyDescent="0.25">
      <c r="A757">
        <v>756</v>
      </c>
      <c r="B757" s="1" t="d">
        <v>2023-08-27</v>
      </c>
      <c r="C757" t="s">
        <v>769</v>
      </c>
      <c r="D757" t="s">
        <v>13</v>
      </c>
      <c r="E757" s="2">
        <v>62</v>
      </c>
      <c r="F757" t="s">
        <v>16</v>
      </c>
      <c r="G757" s="2">
        <v>4</v>
      </c>
      <c r="H757" s="15">
        <v>300</v>
      </c>
      <c r="I757" s="14">
        <v>1200</v>
      </c>
    </row>
    <row r="758" spans="1:9" x14ac:dyDescent="0.25">
      <c r="A758">
        <v>757</v>
      </c>
      <c r="B758" s="1" t="d">
        <v>2023-12-25</v>
      </c>
      <c r="C758" t="s">
        <v>770</v>
      </c>
      <c r="D758" t="s">
        <v>13</v>
      </c>
      <c r="E758" s="2">
        <v>43</v>
      </c>
      <c r="F758" t="s">
        <v>16</v>
      </c>
      <c r="G758" s="2">
        <v>4</v>
      </c>
      <c r="H758" s="15">
        <v>300</v>
      </c>
      <c r="I758" s="14">
        <v>1200</v>
      </c>
    </row>
    <row r="759" spans="1:9" x14ac:dyDescent="0.25">
      <c r="A759">
        <v>758</v>
      </c>
      <c r="B759" s="1" t="d">
        <v>2023-05-12</v>
      </c>
      <c r="C759" t="s">
        <v>771</v>
      </c>
      <c r="D759" t="s">
        <v>10</v>
      </c>
      <c r="E759" s="2">
        <v>64</v>
      </c>
      <c r="F759" t="s">
        <v>14</v>
      </c>
      <c r="G759" s="2">
        <v>4</v>
      </c>
      <c r="H759" s="15">
        <v>25</v>
      </c>
      <c r="I759" s="14">
        <v>100</v>
      </c>
    </row>
    <row r="760" spans="1:9" x14ac:dyDescent="0.25">
      <c r="A760">
        <v>759</v>
      </c>
      <c r="B760" s="1" t="d">
        <v>2023-07-08</v>
      </c>
      <c r="C760" t="s">
        <v>772</v>
      </c>
      <c r="D760" t="s">
        <v>10</v>
      </c>
      <c r="E760" s="2">
        <v>49</v>
      </c>
      <c r="F760" t="s">
        <v>16</v>
      </c>
      <c r="G760" s="2">
        <v>2</v>
      </c>
      <c r="H760" s="15">
        <v>50</v>
      </c>
      <c r="I760" s="14">
        <v>100</v>
      </c>
    </row>
    <row r="761" spans="1:9" x14ac:dyDescent="0.25">
      <c r="A761">
        <v>760</v>
      </c>
      <c r="B761" s="1" t="d">
        <v>2023-03-27</v>
      </c>
      <c r="C761" t="s">
        <v>773</v>
      </c>
      <c r="D761" t="s">
        <v>10</v>
      </c>
      <c r="E761" s="2">
        <v>27</v>
      </c>
      <c r="F761" t="s">
        <v>11</v>
      </c>
      <c r="G761" s="2">
        <v>1</v>
      </c>
      <c r="H761" s="15">
        <v>500</v>
      </c>
      <c r="I761" s="14">
        <v>500</v>
      </c>
    </row>
    <row r="762" spans="1:9" x14ac:dyDescent="0.25">
      <c r="A762">
        <v>761</v>
      </c>
      <c r="B762" s="1" t="d">
        <v>2023-11-07</v>
      </c>
      <c r="C762" t="s">
        <v>774</v>
      </c>
      <c r="D762" t="s">
        <v>13</v>
      </c>
      <c r="E762" s="2">
        <v>33</v>
      </c>
      <c r="F762" t="s">
        <v>14</v>
      </c>
      <c r="G762" s="2">
        <v>1</v>
      </c>
      <c r="H762" s="15">
        <v>500</v>
      </c>
      <c r="I762" s="14">
        <v>500</v>
      </c>
    </row>
    <row r="763" spans="1:9" x14ac:dyDescent="0.25">
      <c r="A763">
        <v>762</v>
      </c>
      <c r="B763" s="1" t="d">
        <v>2023-11-07</v>
      </c>
      <c r="C763" t="s">
        <v>775</v>
      </c>
      <c r="D763" t="s">
        <v>13</v>
      </c>
      <c r="E763" s="2">
        <v>24</v>
      </c>
      <c r="F763" t="s">
        <v>16</v>
      </c>
      <c r="G763" s="2">
        <v>2</v>
      </c>
      <c r="H763" s="15">
        <v>25</v>
      </c>
      <c r="I763" s="14">
        <v>50</v>
      </c>
    </row>
    <row r="764" spans="1:9" x14ac:dyDescent="0.25">
      <c r="A764">
        <v>763</v>
      </c>
      <c r="B764" s="1" t="d">
        <v>2023-02-28</v>
      </c>
      <c r="C764" t="s">
        <v>776</v>
      </c>
      <c r="D764" t="s">
        <v>10</v>
      </c>
      <c r="E764" s="2">
        <v>34</v>
      </c>
      <c r="F764" t="s">
        <v>14</v>
      </c>
      <c r="G764" s="2">
        <v>2</v>
      </c>
      <c r="H764" s="15">
        <v>25</v>
      </c>
      <c r="I764" s="14">
        <v>50</v>
      </c>
    </row>
    <row r="765" spans="1:9" x14ac:dyDescent="0.25">
      <c r="A765">
        <v>764</v>
      </c>
      <c r="B765" s="1" t="d">
        <v>2023-03-25</v>
      </c>
      <c r="C765" t="s">
        <v>777</v>
      </c>
      <c r="D765" t="s">
        <v>13</v>
      </c>
      <c r="E765" s="2">
        <v>40</v>
      </c>
      <c r="F765" t="s">
        <v>14</v>
      </c>
      <c r="G765" s="2">
        <v>1</v>
      </c>
      <c r="H765" s="15">
        <v>25</v>
      </c>
      <c r="I765" s="14">
        <v>25</v>
      </c>
    </row>
    <row r="766" spans="1:9" x14ac:dyDescent="0.25">
      <c r="A766">
        <v>765</v>
      </c>
      <c r="B766" s="1" t="d">
        <v>2023-06-09</v>
      </c>
      <c r="C766" t="s">
        <v>778</v>
      </c>
      <c r="D766" t="s">
        <v>10</v>
      </c>
      <c r="E766" s="2">
        <v>43</v>
      </c>
      <c r="F766" t="s">
        <v>14</v>
      </c>
      <c r="G766" s="2">
        <v>4</v>
      </c>
      <c r="H766" s="15">
        <v>50</v>
      </c>
      <c r="I766" s="14">
        <v>200</v>
      </c>
    </row>
    <row r="767" spans="1:9" x14ac:dyDescent="0.25">
      <c r="A767">
        <v>766</v>
      </c>
      <c r="B767" s="1" t="d">
        <v>2023-02-25</v>
      </c>
      <c r="C767" t="s">
        <v>779</v>
      </c>
      <c r="D767" t="s">
        <v>10</v>
      </c>
      <c r="E767" s="2">
        <v>38</v>
      </c>
      <c r="F767" t="s">
        <v>16</v>
      </c>
      <c r="G767" s="2">
        <v>3</v>
      </c>
      <c r="H767" s="15">
        <v>300</v>
      </c>
      <c r="I767" s="14">
        <v>900</v>
      </c>
    </row>
    <row r="768" spans="1:9" x14ac:dyDescent="0.25">
      <c r="A768">
        <v>767</v>
      </c>
      <c r="B768" s="1" t="d">
        <v>2023-10-24</v>
      </c>
      <c r="C768" t="s">
        <v>780</v>
      </c>
      <c r="D768" t="s">
        <v>10</v>
      </c>
      <c r="E768" s="2">
        <v>39</v>
      </c>
      <c r="F768" t="s">
        <v>11</v>
      </c>
      <c r="G768" s="2">
        <v>3</v>
      </c>
      <c r="H768" s="15">
        <v>25</v>
      </c>
      <c r="I768" s="14">
        <v>75</v>
      </c>
    </row>
    <row r="769" spans="1:9" x14ac:dyDescent="0.25">
      <c r="A769">
        <v>768</v>
      </c>
      <c r="B769" s="1" t="d">
        <v>2023-01-14</v>
      </c>
      <c r="C769" t="s">
        <v>781</v>
      </c>
      <c r="D769" t="s">
        <v>13</v>
      </c>
      <c r="E769" s="2">
        <v>24</v>
      </c>
      <c r="F769" t="s">
        <v>11</v>
      </c>
      <c r="G769" s="2">
        <v>3</v>
      </c>
      <c r="H769" s="15">
        <v>25</v>
      </c>
      <c r="I769" s="14">
        <v>75</v>
      </c>
    </row>
    <row r="770" spans="1:9" x14ac:dyDescent="0.25">
      <c r="A770">
        <v>769</v>
      </c>
      <c r="B770" s="1" t="d">
        <v>2023-06-09</v>
      </c>
      <c r="C770" t="s">
        <v>782</v>
      </c>
      <c r="D770" t="s">
        <v>13</v>
      </c>
      <c r="E770" s="2">
        <v>31</v>
      </c>
      <c r="F770" t="s">
        <v>16</v>
      </c>
      <c r="G770" s="2">
        <v>4</v>
      </c>
      <c r="H770" s="15">
        <v>30</v>
      </c>
      <c r="I770" s="14">
        <v>120</v>
      </c>
    </row>
    <row r="771" spans="1:9" x14ac:dyDescent="0.25">
      <c r="A771">
        <v>770</v>
      </c>
      <c r="B771" s="1" t="d">
        <v>2023-10-22</v>
      </c>
      <c r="C771" t="s">
        <v>783</v>
      </c>
      <c r="D771" t="s">
        <v>10</v>
      </c>
      <c r="E771" s="2">
        <v>32</v>
      </c>
      <c r="F771" t="s">
        <v>14</v>
      </c>
      <c r="G771" s="2">
        <v>1</v>
      </c>
      <c r="H771" s="15">
        <v>50</v>
      </c>
      <c r="I771" s="14">
        <v>50</v>
      </c>
    </row>
    <row r="772" spans="1:9" x14ac:dyDescent="0.25">
      <c r="A772">
        <v>771</v>
      </c>
      <c r="B772" s="1" t="d">
        <v>2023-12-13</v>
      </c>
      <c r="C772" t="s">
        <v>784</v>
      </c>
      <c r="D772" t="s">
        <v>10</v>
      </c>
      <c r="E772" s="2">
        <v>24</v>
      </c>
      <c r="F772" t="s">
        <v>16</v>
      </c>
      <c r="G772" s="2">
        <v>2</v>
      </c>
      <c r="H772" s="15">
        <v>25</v>
      </c>
      <c r="I772" s="14">
        <v>50</v>
      </c>
    </row>
    <row r="773" spans="1:9" x14ac:dyDescent="0.25">
      <c r="A773">
        <v>772</v>
      </c>
      <c r="B773" s="1" t="d">
        <v>2023-07-12</v>
      </c>
      <c r="C773" t="s">
        <v>785</v>
      </c>
      <c r="D773" t="s">
        <v>10</v>
      </c>
      <c r="E773" s="2">
        <v>26</v>
      </c>
      <c r="F773" t="s">
        <v>16</v>
      </c>
      <c r="G773" s="2">
        <v>1</v>
      </c>
      <c r="H773" s="15">
        <v>30</v>
      </c>
      <c r="I773" s="14">
        <v>30</v>
      </c>
    </row>
    <row r="774" spans="1:9" x14ac:dyDescent="0.25">
      <c r="A774">
        <v>773</v>
      </c>
      <c r="B774" s="1" t="d">
        <v>2023-07-23</v>
      </c>
      <c r="C774" t="s">
        <v>786</v>
      </c>
      <c r="D774" t="s">
        <v>10</v>
      </c>
      <c r="E774" s="2">
        <v>25</v>
      </c>
      <c r="F774" t="s">
        <v>16</v>
      </c>
      <c r="G774" s="2">
        <v>4</v>
      </c>
      <c r="H774" s="15">
        <v>500</v>
      </c>
      <c r="I774" s="14">
        <v>2000</v>
      </c>
    </row>
    <row r="775" spans="1:9" x14ac:dyDescent="0.25">
      <c r="A775">
        <v>774</v>
      </c>
      <c r="B775" s="1" t="d">
        <v>2023-04-12</v>
      </c>
      <c r="C775" t="s">
        <v>787</v>
      </c>
      <c r="D775" t="s">
        <v>13</v>
      </c>
      <c r="E775" s="2">
        <v>40</v>
      </c>
      <c r="F775" t="s">
        <v>14</v>
      </c>
      <c r="G775" s="2">
        <v>2</v>
      </c>
      <c r="H775" s="15">
        <v>25</v>
      </c>
      <c r="I775" s="14">
        <v>50</v>
      </c>
    </row>
    <row r="776" spans="1:9" x14ac:dyDescent="0.25">
      <c r="A776">
        <v>775</v>
      </c>
      <c r="B776" s="1" t="d">
        <v>2023-02-08</v>
      </c>
      <c r="C776" t="s">
        <v>788</v>
      </c>
      <c r="D776" t="s">
        <v>13</v>
      </c>
      <c r="E776" s="2">
        <v>46</v>
      </c>
      <c r="F776" t="s">
        <v>16</v>
      </c>
      <c r="G776" s="2">
        <v>4</v>
      </c>
      <c r="H776" s="15">
        <v>25</v>
      </c>
      <c r="I776" s="14">
        <v>100</v>
      </c>
    </row>
    <row r="777" spans="1:9" x14ac:dyDescent="0.25">
      <c r="A777">
        <v>776</v>
      </c>
      <c r="B777" s="1" t="d">
        <v>2023-10-31</v>
      </c>
      <c r="C777" t="s">
        <v>789</v>
      </c>
      <c r="D777" t="s">
        <v>10</v>
      </c>
      <c r="E777" s="2">
        <v>35</v>
      </c>
      <c r="F777" t="s">
        <v>14</v>
      </c>
      <c r="G777" s="2">
        <v>3</v>
      </c>
      <c r="H777" s="15">
        <v>30</v>
      </c>
      <c r="I777" s="14">
        <v>90</v>
      </c>
    </row>
    <row r="778" spans="1:9" x14ac:dyDescent="0.25">
      <c r="A778">
        <v>777</v>
      </c>
      <c r="B778" s="1" t="d">
        <v>2023-12-20</v>
      </c>
      <c r="C778" t="s">
        <v>790</v>
      </c>
      <c r="D778" t="s">
        <v>10</v>
      </c>
      <c r="E778" s="2">
        <v>48</v>
      </c>
      <c r="F778" t="s">
        <v>16</v>
      </c>
      <c r="G778" s="2">
        <v>3</v>
      </c>
      <c r="H778" s="15">
        <v>50</v>
      </c>
      <c r="I778" s="14">
        <v>150</v>
      </c>
    </row>
    <row r="779" spans="1:9" x14ac:dyDescent="0.25">
      <c r="A779">
        <v>778</v>
      </c>
      <c r="B779" s="1" t="d">
        <v>2023-11-18</v>
      </c>
      <c r="C779" t="s">
        <v>791</v>
      </c>
      <c r="D779" t="s">
        <v>13</v>
      </c>
      <c r="E779" s="2">
        <v>47</v>
      </c>
      <c r="F779" t="s">
        <v>11</v>
      </c>
      <c r="G779" s="2">
        <v>4</v>
      </c>
      <c r="H779" s="15">
        <v>25</v>
      </c>
      <c r="I779" s="14">
        <v>100</v>
      </c>
    </row>
    <row r="780" spans="1:9" x14ac:dyDescent="0.25">
      <c r="A780">
        <v>779</v>
      </c>
      <c r="B780" s="1" t="d">
        <v>2023-05-05</v>
      </c>
      <c r="C780" t="s">
        <v>792</v>
      </c>
      <c r="D780" t="s">
        <v>13</v>
      </c>
      <c r="E780" s="2">
        <v>56</v>
      </c>
      <c r="F780" t="s">
        <v>16</v>
      </c>
      <c r="G780" s="2">
        <v>2</v>
      </c>
      <c r="H780" s="15">
        <v>500</v>
      </c>
      <c r="I780" s="14">
        <v>1000</v>
      </c>
    </row>
    <row r="781" spans="1:9" x14ac:dyDescent="0.25">
      <c r="A781">
        <v>780</v>
      </c>
      <c r="B781" s="1" t="d">
        <v>2023-02-22</v>
      </c>
      <c r="C781" t="s">
        <v>793</v>
      </c>
      <c r="D781" t="s">
        <v>10</v>
      </c>
      <c r="E781" s="2">
        <v>52</v>
      </c>
      <c r="F781" t="s">
        <v>16</v>
      </c>
      <c r="G781" s="2">
        <v>2</v>
      </c>
      <c r="H781" s="15">
        <v>25</v>
      </c>
      <c r="I781" s="14">
        <v>50</v>
      </c>
    </row>
    <row r="782" spans="1:9" x14ac:dyDescent="0.25">
      <c r="A782">
        <v>781</v>
      </c>
      <c r="B782" s="1" t="d">
        <v>2023-12-23</v>
      </c>
      <c r="C782" t="s">
        <v>794</v>
      </c>
      <c r="D782" t="s">
        <v>10</v>
      </c>
      <c r="E782" s="2">
        <v>35</v>
      </c>
      <c r="F782" t="s">
        <v>11</v>
      </c>
      <c r="G782" s="2">
        <v>1</v>
      </c>
      <c r="H782" s="15">
        <v>500</v>
      </c>
      <c r="I782" s="14">
        <v>500</v>
      </c>
    </row>
    <row r="783" spans="1:9" x14ac:dyDescent="0.25">
      <c r="A783">
        <v>782</v>
      </c>
      <c r="B783" s="1" t="d">
        <v>2023-06-04</v>
      </c>
      <c r="C783" t="s">
        <v>795</v>
      </c>
      <c r="D783" t="s">
        <v>10</v>
      </c>
      <c r="E783" s="2">
        <v>59</v>
      </c>
      <c r="F783" t="s">
        <v>14</v>
      </c>
      <c r="G783" s="2">
        <v>3</v>
      </c>
      <c r="H783" s="15">
        <v>300</v>
      </c>
      <c r="I783" s="14">
        <v>900</v>
      </c>
    </row>
    <row r="784" spans="1:9" x14ac:dyDescent="0.25">
      <c r="A784">
        <v>783</v>
      </c>
      <c r="B784" s="1" t="d">
        <v>2023-12-17</v>
      </c>
      <c r="C784" t="s">
        <v>796</v>
      </c>
      <c r="D784" t="s">
        <v>13</v>
      </c>
      <c r="E784" s="2">
        <v>56</v>
      </c>
      <c r="F784" t="s">
        <v>14</v>
      </c>
      <c r="G784" s="2">
        <v>1</v>
      </c>
      <c r="H784" s="15">
        <v>300</v>
      </c>
      <c r="I784" s="14">
        <v>300</v>
      </c>
    </row>
    <row r="785" spans="1:9" x14ac:dyDescent="0.25">
      <c r="A785">
        <v>784</v>
      </c>
      <c r="B785" s="1" t="d">
        <v>2023-11-04</v>
      </c>
      <c r="C785" t="s">
        <v>797</v>
      </c>
      <c r="D785" t="s">
        <v>13</v>
      </c>
      <c r="E785" s="2">
        <v>34</v>
      </c>
      <c r="F785" t="s">
        <v>16</v>
      </c>
      <c r="G785" s="2">
        <v>1</v>
      </c>
      <c r="H785" s="15">
        <v>500</v>
      </c>
      <c r="I785" s="14">
        <v>500</v>
      </c>
    </row>
    <row r="786" spans="1:9" x14ac:dyDescent="0.25">
      <c r="A786">
        <v>785</v>
      </c>
      <c r="B786" s="1" t="d">
        <v>2023-03-03</v>
      </c>
      <c r="C786" t="s">
        <v>798</v>
      </c>
      <c r="D786" t="s">
        <v>13</v>
      </c>
      <c r="E786" s="2">
        <v>31</v>
      </c>
      <c r="F786" t="s">
        <v>11</v>
      </c>
      <c r="G786" s="2">
        <v>4</v>
      </c>
      <c r="H786" s="15">
        <v>50</v>
      </c>
      <c r="I786" s="14">
        <v>200</v>
      </c>
    </row>
    <row r="787" spans="1:9" x14ac:dyDescent="0.25">
      <c r="A787">
        <v>786</v>
      </c>
      <c r="B787" s="1" t="d">
        <v>2023-10-17</v>
      </c>
      <c r="C787" t="s">
        <v>799</v>
      </c>
      <c r="D787" t="s">
        <v>10</v>
      </c>
      <c r="E787" s="2">
        <v>48</v>
      </c>
      <c r="F787" t="s">
        <v>14</v>
      </c>
      <c r="G787" s="2">
        <v>4</v>
      </c>
      <c r="H787" s="15">
        <v>25</v>
      </c>
      <c r="I787" s="14">
        <v>100</v>
      </c>
    </row>
    <row r="788" spans="1:9" x14ac:dyDescent="0.25">
      <c r="A788">
        <v>787</v>
      </c>
      <c r="B788" s="1" t="d">
        <v>2023-01-22</v>
      </c>
      <c r="C788" t="s">
        <v>800</v>
      </c>
      <c r="D788" t="s">
        <v>10</v>
      </c>
      <c r="E788" s="2">
        <v>41</v>
      </c>
      <c r="F788" t="s">
        <v>16</v>
      </c>
      <c r="G788" s="2">
        <v>1</v>
      </c>
      <c r="H788" s="15">
        <v>25</v>
      </c>
      <c r="I788" s="14">
        <v>25</v>
      </c>
    </row>
    <row r="789" spans="1:9" x14ac:dyDescent="0.25">
      <c r="A789">
        <v>788</v>
      </c>
      <c r="B789" s="1" t="d">
        <v>2023-06-27</v>
      </c>
      <c r="C789" t="s">
        <v>801</v>
      </c>
      <c r="D789" t="s">
        <v>13</v>
      </c>
      <c r="E789" s="2">
        <v>52</v>
      </c>
      <c r="F789" t="s">
        <v>11</v>
      </c>
      <c r="G789" s="2">
        <v>3</v>
      </c>
      <c r="H789" s="15">
        <v>300</v>
      </c>
      <c r="I789" s="14">
        <v>900</v>
      </c>
    </row>
    <row r="790" spans="1:9" x14ac:dyDescent="0.25">
      <c r="A790">
        <v>789</v>
      </c>
      <c r="B790" s="1" t="d">
        <v>2023-09-30</v>
      </c>
      <c r="C790" t="s">
        <v>802</v>
      </c>
      <c r="D790" t="s">
        <v>13</v>
      </c>
      <c r="E790" s="2">
        <v>61</v>
      </c>
      <c r="F790" t="s">
        <v>14</v>
      </c>
      <c r="G790" s="2">
        <v>4</v>
      </c>
      <c r="H790" s="15">
        <v>500</v>
      </c>
      <c r="I790" s="14">
        <v>2000</v>
      </c>
    </row>
    <row r="791" spans="1:9" x14ac:dyDescent="0.25">
      <c r="A791">
        <v>790</v>
      </c>
      <c r="B791" s="1" t="d">
        <v>2023-08-08</v>
      </c>
      <c r="C791" t="s">
        <v>803</v>
      </c>
      <c r="D791" t="s">
        <v>10</v>
      </c>
      <c r="E791" s="2">
        <v>62</v>
      </c>
      <c r="F791" t="s">
        <v>14</v>
      </c>
      <c r="G791" s="2">
        <v>1</v>
      </c>
      <c r="H791" s="15">
        <v>25</v>
      </c>
      <c r="I791" s="14">
        <v>25</v>
      </c>
    </row>
    <row r="792" spans="1:9" x14ac:dyDescent="0.25">
      <c r="A792">
        <v>791</v>
      </c>
      <c r="B792" s="1" t="d">
        <v>2023-12-05</v>
      </c>
      <c r="C792" t="s">
        <v>804</v>
      </c>
      <c r="D792" t="s">
        <v>13</v>
      </c>
      <c r="E792" s="2">
        <v>51</v>
      </c>
      <c r="F792" t="s">
        <v>11</v>
      </c>
      <c r="G792" s="2">
        <v>1</v>
      </c>
      <c r="H792" s="15">
        <v>25</v>
      </c>
      <c r="I792" s="14">
        <v>25</v>
      </c>
    </row>
    <row r="793" spans="1:9" x14ac:dyDescent="0.25">
      <c r="A793">
        <v>792</v>
      </c>
      <c r="B793" s="1" t="d">
        <v>2023-07-09</v>
      </c>
      <c r="C793" t="s">
        <v>805</v>
      </c>
      <c r="D793" t="s">
        <v>13</v>
      </c>
      <c r="E793" s="2">
        <v>20</v>
      </c>
      <c r="F793" t="s">
        <v>11</v>
      </c>
      <c r="G793" s="2">
        <v>1</v>
      </c>
      <c r="H793" s="15">
        <v>50</v>
      </c>
      <c r="I793" s="14">
        <v>50</v>
      </c>
    </row>
    <row r="794" spans="1:9" x14ac:dyDescent="0.25">
      <c r="A794">
        <v>793</v>
      </c>
      <c r="B794" s="1" t="d">
        <v>2023-02-05</v>
      </c>
      <c r="C794" t="s">
        <v>806</v>
      </c>
      <c r="D794" t="s">
        <v>10</v>
      </c>
      <c r="E794" s="2">
        <v>54</v>
      </c>
      <c r="F794" t="s">
        <v>11</v>
      </c>
      <c r="G794" s="2">
        <v>1</v>
      </c>
      <c r="H794" s="15">
        <v>30</v>
      </c>
      <c r="I794" s="14">
        <v>30</v>
      </c>
    </row>
    <row r="795" spans="1:9" x14ac:dyDescent="0.25">
      <c r="A795">
        <v>794</v>
      </c>
      <c r="B795" s="1" t="d">
        <v>2023-09-17</v>
      </c>
      <c r="C795" t="s">
        <v>807</v>
      </c>
      <c r="D795" t="s">
        <v>13</v>
      </c>
      <c r="E795" s="2">
        <v>60</v>
      </c>
      <c r="F795" t="s">
        <v>11</v>
      </c>
      <c r="G795" s="2">
        <v>1</v>
      </c>
      <c r="H795" s="15">
        <v>300</v>
      </c>
      <c r="I795" s="14">
        <v>300</v>
      </c>
    </row>
    <row r="796" spans="1:9" x14ac:dyDescent="0.25">
      <c r="A796">
        <v>795</v>
      </c>
      <c r="B796" s="1" t="d">
        <v>2023-11-28</v>
      </c>
      <c r="C796" t="s">
        <v>808</v>
      </c>
      <c r="D796" t="s">
        <v>10</v>
      </c>
      <c r="E796" s="2">
        <v>57</v>
      </c>
      <c r="F796" t="s">
        <v>16</v>
      </c>
      <c r="G796" s="2">
        <v>1</v>
      </c>
      <c r="H796" s="15">
        <v>300</v>
      </c>
      <c r="I796" s="14">
        <v>300</v>
      </c>
    </row>
    <row r="797" spans="1:9" x14ac:dyDescent="0.25">
      <c r="A797">
        <v>796</v>
      </c>
      <c r="B797" s="1" t="d">
        <v>2023-06-24</v>
      </c>
      <c r="C797" t="s">
        <v>809</v>
      </c>
      <c r="D797" t="s">
        <v>10</v>
      </c>
      <c r="E797" s="2">
        <v>43</v>
      </c>
      <c r="F797" t="s">
        <v>11</v>
      </c>
      <c r="G797" s="2">
        <v>4</v>
      </c>
      <c r="H797" s="15">
        <v>30</v>
      </c>
      <c r="I797" s="14">
        <v>120</v>
      </c>
    </row>
    <row r="798" spans="1:9" x14ac:dyDescent="0.25">
      <c r="A798">
        <v>797</v>
      </c>
      <c r="B798" s="1" t="d">
        <v>2023-01-07</v>
      </c>
      <c r="C798" t="s">
        <v>810</v>
      </c>
      <c r="D798" t="s">
        <v>10</v>
      </c>
      <c r="E798" s="2">
        <v>40</v>
      </c>
      <c r="F798" t="s">
        <v>14</v>
      </c>
      <c r="G798" s="2">
        <v>3</v>
      </c>
      <c r="H798" s="15">
        <v>25</v>
      </c>
      <c r="I798" s="14">
        <v>75</v>
      </c>
    </row>
    <row r="799" spans="1:9" x14ac:dyDescent="0.25">
      <c r="A799">
        <v>798</v>
      </c>
      <c r="B799" s="1" t="d">
        <v>2023-08-04</v>
      </c>
      <c r="C799" t="s">
        <v>811</v>
      </c>
      <c r="D799" t="s">
        <v>10</v>
      </c>
      <c r="E799" s="2">
        <v>61</v>
      </c>
      <c r="F799" t="s">
        <v>14</v>
      </c>
      <c r="G799" s="2">
        <v>1</v>
      </c>
      <c r="H799" s="15">
        <v>50</v>
      </c>
      <c r="I799" s="14">
        <v>50</v>
      </c>
    </row>
    <row r="800" spans="1:9" x14ac:dyDescent="0.25">
      <c r="A800">
        <v>799</v>
      </c>
      <c r="B800" s="1" t="d">
        <v>2023-09-08</v>
      </c>
      <c r="C800" t="s">
        <v>812</v>
      </c>
      <c r="D800" t="s">
        <v>10</v>
      </c>
      <c r="E800" s="2">
        <v>56</v>
      </c>
      <c r="F800" t="s">
        <v>16</v>
      </c>
      <c r="G800" s="2">
        <v>2</v>
      </c>
      <c r="H800" s="15">
        <v>50</v>
      </c>
      <c r="I800" s="14">
        <v>100</v>
      </c>
    </row>
    <row r="801" spans="1:9" x14ac:dyDescent="0.25">
      <c r="A801">
        <v>800</v>
      </c>
      <c r="B801" s="1" t="d">
        <v>2023-02-24</v>
      </c>
      <c r="C801" t="s">
        <v>813</v>
      </c>
      <c r="D801" t="s">
        <v>10</v>
      </c>
      <c r="E801" s="2">
        <v>32</v>
      </c>
      <c r="F801" t="s">
        <v>14</v>
      </c>
      <c r="G801" s="2">
        <v>4</v>
      </c>
      <c r="H801" s="15">
        <v>300</v>
      </c>
      <c r="I801" s="14">
        <v>1200</v>
      </c>
    </row>
    <row r="802" spans="1:9" x14ac:dyDescent="0.25">
      <c r="A802">
        <v>801</v>
      </c>
      <c r="B802" s="1" t="d">
        <v>2023-08-10</v>
      </c>
      <c r="C802" t="s">
        <v>814</v>
      </c>
      <c r="D802" t="s">
        <v>10</v>
      </c>
      <c r="E802" s="2">
        <v>21</v>
      </c>
      <c r="F802" t="s">
        <v>14</v>
      </c>
      <c r="G802" s="2">
        <v>4</v>
      </c>
      <c r="H802" s="15">
        <v>50</v>
      </c>
      <c r="I802" s="14">
        <v>200</v>
      </c>
    </row>
    <row r="803" spans="1:9" x14ac:dyDescent="0.25">
      <c r="A803">
        <v>802</v>
      </c>
      <c r="B803" s="1" t="d">
        <v>2023-07-05</v>
      </c>
      <c r="C803" t="s">
        <v>815</v>
      </c>
      <c r="D803" t="s">
        <v>13</v>
      </c>
      <c r="E803" s="2">
        <v>46</v>
      </c>
      <c r="F803" t="s">
        <v>11</v>
      </c>
      <c r="G803" s="2">
        <v>1</v>
      </c>
      <c r="H803" s="15">
        <v>30</v>
      </c>
      <c r="I803" s="14">
        <v>30</v>
      </c>
    </row>
    <row r="804" spans="1:9" x14ac:dyDescent="0.25">
      <c r="A804">
        <v>803</v>
      </c>
      <c r="B804" s="1" t="d">
        <v>2023-11-22</v>
      </c>
      <c r="C804" t="s">
        <v>816</v>
      </c>
      <c r="D804" t="s">
        <v>10</v>
      </c>
      <c r="E804" s="2">
        <v>39</v>
      </c>
      <c r="F804" t="s">
        <v>14</v>
      </c>
      <c r="G804" s="2">
        <v>4</v>
      </c>
      <c r="H804" s="15">
        <v>25</v>
      </c>
      <c r="I804" s="14">
        <v>100</v>
      </c>
    </row>
    <row r="805" spans="1:9" x14ac:dyDescent="0.25">
      <c r="A805">
        <v>804</v>
      </c>
      <c r="B805" s="1" t="d">
        <v>2023-08-24</v>
      </c>
      <c r="C805" t="s">
        <v>817</v>
      </c>
      <c r="D805" t="s">
        <v>10</v>
      </c>
      <c r="E805" s="2">
        <v>42</v>
      </c>
      <c r="F805" t="s">
        <v>16</v>
      </c>
      <c r="G805" s="2">
        <v>1</v>
      </c>
      <c r="H805" s="15">
        <v>30</v>
      </c>
      <c r="I805" s="14">
        <v>30</v>
      </c>
    </row>
    <row r="806" spans="1:9" x14ac:dyDescent="0.25">
      <c r="A806">
        <v>805</v>
      </c>
      <c r="B806" s="1" t="d">
        <v>2023-12-29</v>
      </c>
      <c r="C806" t="s">
        <v>818</v>
      </c>
      <c r="D806" t="s">
        <v>13</v>
      </c>
      <c r="E806" s="2">
        <v>30</v>
      </c>
      <c r="F806" t="s">
        <v>11</v>
      </c>
      <c r="G806" s="2">
        <v>3</v>
      </c>
      <c r="H806" s="15">
        <v>500</v>
      </c>
      <c r="I806" s="14">
        <v>1500</v>
      </c>
    </row>
    <row r="807" spans="1:9" x14ac:dyDescent="0.25">
      <c r="A807">
        <v>806</v>
      </c>
      <c r="B807" s="1" t="d">
        <v>2023-03-20</v>
      </c>
      <c r="C807" t="s">
        <v>819</v>
      </c>
      <c r="D807" t="s">
        <v>13</v>
      </c>
      <c r="E807" s="2">
        <v>35</v>
      </c>
      <c r="F807" t="s">
        <v>11</v>
      </c>
      <c r="G807" s="2">
        <v>3</v>
      </c>
      <c r="H807" s="15">
        <v>300</v>
      </c>
      <c r="I807" s="14">
        <v>900</v>
      </c>
    </row>
    <row r="808" spans="1:9" x14ac:dyDescent="0.25">
      <c r="A808">
        <v>807</v>
      </c>
      <c r="B808" s="1" t="d">
        <v>2023-08-11</v>
      </c>
      <c r="C808" t="s">
        <v>820</v>
      </c>
      <c r="D808" t="s">
        <v>13</v>
      </c>
      <c r="E808" s="2">
        <v>50</v>
      </c>
      <c r="F808" t="s">
        <v>16</v>
      </c>
      <c r="G808" s="2">
        <v>4</v>
      </c>
      <c r="H808" s="15">
        <v>50</v>
      </c>
      <c r="I808" s="14">
        <v>200</v>
      </c>
    </row>
    <row r="809" spans="1:9" x14ac:dyDescent="0.25">
      <c r="A809">
        <v>808</v>
      </c>
      <c r="B809" s="1" t="d">
        <v>2023-04-01</v>
      </c>
      <c r="C809" t="s">
        <v>821</v>
      </c>
      <c r="D809" t="s">
        <v>10</v>
      </c>
      <c r="E809" s="2">
        <v>33</v>
      </c>
      <c r="F809" t="s">
        <v>11</v>
      </c>
      <c r="G809" s="2">
        <v>4</v>
      </c>
      <c r="H809" s="15">
        <v>500</v>
      </c>
      <c r="I809" s="14">
        <v>2000</v>
      </c>
    </row>
    <row r="810" spans="1:9" x14ac:dyDescent="0.25">
      <c r="A810">
        <v>809</v>
      </c>
      <c r="B810" s="1" t="d">
        <v>2023-09-25</v>
      </c>
      <c r="C810" t="s">
        <v>822</v>
      </c>
      <c r="D810" t="s">
        <v>13</v>
      </c>
      <c r="E810" s="2">
        <v>62</v>
      </c>
      <c r="F810" t="s">
        <v>11</v>
      </c>
      <c r="G810" s="2">
        <v>2</v>
      </c>
      <c r="H810" s="15">
        <v>50</v>
      </c>
      <c r="I810" s="14">
        <v>100</v>
      </c>
    </row>
    <row r="811" spans="1:9" x14ac:dyDescent="0.25">
      <c r="A811">
        <v>810</v>
      </c>
      <c r="B811" s="1" t="d">
        <v>2023-11-30</v>
      </c>
      <c r="C811" t="s">
        <v>823</v>
      </c>
      <c r="D811" t="s">
        <v>10</v>
      </c>
      <c r="E811" s="2">
        <v>59</v>
      </c>
      <c r="F811" t="s">
        <v>16</v>
      </c>
      <c r="G811" s="2">
        <v>4</v>
      </c>
      <c r="H811" s="15">
        <v>25</v>
      </c>
      <c r="I811" s="14">
        <v>100</v>
      </c>
    </row>
    <row r="812" spans="1:9" x14ac:dyDescent="0.25">
      <c r="A812">
        <v>811</v>
      </c>
      <c r="B812" s="1" t="d">
        <v>2023-05-19</v>
      </c>
      <c r="C812" t="s">
        <v>824</v>
      </c>
      <c r="D812" t="s">
        <v>10</v>
      </c>
      <c r="E812" s="2">
        <v>61</v>
      </c>
      <c r="F812" t="s">
        <v>11</v>
      </c>
      <c r="G812" s="2">
        <v>2</v>
      </c>
      <c r="H812" s="15">
        <v>25</v>
      </c>
      <c r="I812" s="14">
        <v>50</v>
      </c>
    </row>
    <row r="813" spans="1:9" x14ac:dyDescent="0.25">
      <c r="A813">
        <v>812</v>
      </c>
      <c r="B813" s="1" t="d">
        <v>2023-11-12</v>
      </c>
      <c r="C813" t="s">
        <v>825</v>
      </c>
      <c r="D813" t="s">
        <v>10</v>
      </c>
      <c r="E813" s="2">
        <v>19</v>
      </c>
      <c r="F813" t="s">
        <v>16</v>
      </c>
      <c r="G813" s="2">
        <v>3</v>
      </c>
      <c r="H813" s="15">
        <v>25</v>
      </c>
      <c r="I813" s="14">
        <v>75</v>
      </c>
    </row>
    <row r="814" spans="1:9" x14ac:dyDescent="0.25">
      <c r="A814">
        <v>813</v>
      </c>
      <c r="B814" s="1" t="d">
        <v>2023-10-03</v>
      </c>
      <c r="C814" t="s">
        <v>826</v>
      </c>
      <c r="D814" t="s">
        <v>10</v>
      </c>
      <c r="E814" s="2">
        <v>52</v>
      </c>
      <c r="F814" t="s">
        <v>16</v>
      </c>
      <c r="G814" s="2">
        <v>3</v>
      </c>
      <c r="H814" s="15">
        <v>50</v>
      </c>
      <c r="I814" s="14">
        <v>150</v>
      </c>
    </row>
    <row r="815" spans="1:9" x14ac:dyDescent="0.25">
      <c r="A815">
        <v>814</v>
      </c>
      <c r="B815" s="1" t="d">
        <v>2023-09-05</v>
      </c>
      <c r="C815" t="s">
        <v>827</v>
      </c>
      <c r="D815" t="s">
        <v>13</v>
      </c>
      <c r="E815" s="2">
        <v>59</v>
      </c>
      <c r="F815" t="s">
        <v>14</v>
      </c>
      <c r="G815" s="2">
        <v>1</v>
      </c>
      <c r="H815" s="15">
        <v>500</v>
      </c>
      <c r="I815" s="14">
        <v>500</v>
      </c>
    </row>
    <row r="816" spans="1:9" x14ac:dyDescent="0.25">
      <c r="A816">
        <v>815</v>
      </c>
      <c r="B816" s="1" t="d">
        <v>2023-08-27</v>
      </c>
      <c r="C816" t="s">
        <v>828</v>
      </c>
      <c r="D816" t="s">
        <v>13</v>
      </c>
      <c r="E816" s="2">
        <v>51</v>
      </c>
      <c r="F816" t="s">
        <v>14</v>
      </c>
      <c r="G816" s="2">
        <v>3</v>
      </c>
      <c r="H816" s="15">
        <v>25</v>
      </c>
      <c r="I816" s="14">
        <v>75</v>
      </c>
    </row>
    <row r="817" spans="1:9" x14ac:dyDescent="0.25">
      <c r="A817">
        <v>816</v>
      </c>
      <c r="B817" s="1" t="d">
        <v>2023-08-12</v>
      </c>
      <c r="C817" t="s">
        <v>829</v>
      </c>
      <c r="D817" t="s">
        <v>10</v>
      </c>
      <c r="E817" s="2">
        <v>47</v>
      </c>
      <c r="F817" t="s">
        <v>11</v>
      </c>
      <c r="G817" s="2">
        <v>2</v>
      </c>
      <c r="H817" s="15">
        <v>500</v>
      </c>
      <c r="I817" s="14">
        <v>1000</v>
      </c>
    </row>
    <row r="818" spans="1:9" x14ac:dyDescent="0.25">
      <c r="A818">
        <v>817</v>
      </c>
      <c r="B818" s="1" t="d">
        <v>2023-10-31</v>
      </c>
      <c r="C818" t="s">
        <v>830</v>
      </c>
      <c r="D818" t="s">
        <v>10</v>
      </c>
      <c r="E818" s="2">
        <v>30</v>
      </c>
      <c r="F818" t="s">
        <v>11</v>
      </c>
      <c r="G818" s="2">
        <v>4</v>
      </c>
      <c r="H818" s="15">
        <v>50</v>
      </c>
      <c r="I818" s="14">
        <v>200</v>
      </c>
    </row>
    <row r="819" spans="1:9" x14ac:dyDescent="0.25">
      <c r="A819">
        <v>818</v>
      </c>
      <c r="B819" s="1" t="d">
        <v>2023-05-18</v>
      </c>
      <c r="C819" t="s">
        <v>831</v>
      </c>
      <c r="D819" t="s">
        <v>10</v>
      </c>
      <c r="E819" s="2">
        <v>30</v>
      </c>
      <c r="F819" t="s">
        <v>16</v>
      </c>
      <c r="G819" s="2">
        <v>1</v>
      </c>
      <c r="H819" s="15">
        <v>500</v>
      </c>
      <c r="I819" s="14">
        <v>500</v>
      </c>
    </row>
    <row r="820" spans="1:9" x14ac:dyDescent="0.25">
      <c r="A820">
        <v>819</v>
      </c>
      <c r="B820" s="1" t="d">
        <v>2023-06-15</v>
      </c>
      <c r="C820" t="s">
        <v>832</v>
      </c>
      <c r="D820" t="s">
        <v>13</v>
      </c>
      <c r="E820" s="2">
        <v>35</v>
      </c>
      <c r="F820" t="s">
        <v>11</v>
      </c>
      <c r="G820" s="2">
        <v>2</v>
      </c>
      <c r="H820" s="15">
        <v>50</v>
      </c>
      <c r="I820" s="14">
        <v>100</v>
      </c>
    </row>
    <row r="821" spans="1:9" x14ac:dyDescent="0.25">
      <c r="A821">
        <v>820</v>
      </c>
      <c r="B821" s="1" t="d">
        <v>2023-05-06</v>
      </c>
      <c r="C821" t="s">
        <v>833</v>
      </c>
      <c r="D821" t="s">
        <v>10</v>
      </c>
      <c r="E821" s="2">
        <v>49</v>
      </c>
      <c r="F821" t="s">
        <v>16</v>
      </c>
      <c r="G821" s="2">
        <v>4</v>
      </c>
      <c r="H821" s="15">
        <v>50</v>
      </c>
      <c r="I821" s="14">
        <v>200</v>
      </c>
    </row>
    <row r="822" spans="1:9" x14ac:dyDescent="0.25">
      <c r="A822">
        <v>821</v>
      </c>
      <c r="B822" s="1" t="d">
        <v>2023-02-14</v>
      </c>
      <c r="C822" t="s">
        <v>834</v>
      </c>
      <c r="D822" t="s">
        <v>10</v>
      </c>
      <c r="E822" s="2">
        <v>49</v>
      </c>
      <c r="F822" t="s">
        <v>16</v>
      </c>
      <c r="G822" s="2">
        <v>1</v>
      </c>
      <c r="H822" s="15">
        <v>300</v>
      </c>
      <c r="I822" s="14">
        <v>300</v>
      </c>
    </row>
    <row r="823" spans="1:9" x14ac:dyDescent="0.25">
      <c r="A823">
        <v>822</v>
      </c>
      <c r="B823" s="1" t="d">
        <v>2023-05-23</v>
      </c>
      <c r="C823" t="s">
        <v>835</v>
      </c>
      <c r="D823" t="s">
        <v>13</v>
      </c>
      <c r="E823" s="2">
        <v>52</v>
      </c>
      <c r="F823" t="s">
        <v>11</v>
      </c>
      <c r="G823" s="2">
        <v>3</v>
      </c>
      <c r="H823" s="15">
        <v>50</v>
      </c>
      <c r="I823" s="14">
        <v>150</v>
      </c>
    </row>
    <row r="824" spans="1:9" x14ac:dyDescent="0.25">
      <c r="A824">
        <v>823</v>
      </c>
      <c r="B824" s="1" t="d">
        <v>2023-08-19</v>
      </c>
      <c r="C824" t="s">
        <v>836</v>
      </c>
      <c r="D824" t="s">
        <v>13</v>
      </c>
      <c r="E824" s="2">
        <v>56</v>
      </c>
      <c r="F824" t="s">
        <v>16</v>
      </c>
      <c r="G824" s="2">
        <v>2</v>
      </c>
      <c r="H824" s="15">
        <v>50</v>
      </c>
      <c r="I824" s="14">
        <v>100</v>
      </c>
    </row>
    <row r="825" spans="1:9" x14ac:dyDescent="0.25">
      <c r="A825">
        <v>824</v>
      </c>
      <c r="B825" s="1" t="d">
        <v>2023-05-05</v>
      </c>
      <c r="C825" t="s">
        <v>837</v>
      </c>
      <c r="D825" t="s">
        <v>10</v>
      </c>
      <c r="E825" s="2">
        <v>63</v>
      </c>
      <c r="F825" t="s">
        <v>14</v>
      </c>
      <c r="G825" s="2">
        <v>4</v>
      </c>
      <c r="H825" s="15">
        <v>30</v>
      </c>
      <c r="I825" s="14">
        <v>120</v>
      </c>
    </row>
    <row r="826" spans="1:9" x14ac:dyDescent="0.25">
      <c r="A826">
        <v>825</v>
      </c>
      <c r="B826" s="1" t="d">
        <v>2023-08-26</v>
      </c>
      <c r="C826" t="s">
        <v>838</v>
      </c>
      <c r="D826" t="s">
        <v>13</v>
      </c>
      <c r="E826" s="2">
        <v>46</v>
      </c>
      <c r="F826" t="s">
        <v>11</v>
      </c>
      <c r="G826" s="2">
        <v>1</v>
      </c>
      <c r="H826" s="15">
        <v>25</v>
      </c>
      <c r="I826" s="14">
        <v>25</v>
      </c>
    </row>
    <row r="827" spans="1:9" x14ac:dyDescent="0.25">
      <c r="A827">
        <v>826</v>
      </c>
      <c r="B827" s="1" t="d">
        <v>2023-10-19</v>
      </c>
      <c r="C827" t="s">
        <v>839</v>
      </c>
      <c r="D827" t="s">
        <v>13</v>
      </c>
      <c r="E827" s="2">
        <v>46</v>
      </c>
      <c r="F827" t="s">
        <v>14</v>
      </c>
      <c r="G827" s="2">
        <v>1</v>
      </c>
      <c r="H827" s="15">
        <v>300</v>
      </c>
      <c r="I827" s="14">
        <v>300</v>
      </c>
    </row>
    <row r="828" spans="1:9" x14ac:dyDescent="0.25">
      <c r="A828">
        <v>827</v>
      </c>
      <c r="B828" s="1" t="d">
        <v>2023-11-09</v>
      </c>
      <c r="C828" t="s">
        <v>840</v>
      </c>
      <c r="D828" t="s">
        <v>10</v>
      </c>
      <c r="E828" s="2">
        <v>61</v>
      </c>
      <c r="F828" t="s">
        <v>11</v>
      </c>
      <c r="G828" s="2">
        <v>3</v>
      </c>
      <c r="H828" s="15">
        <v>300</v>
      </c>
      <c r="I828" s="14">
        <v>900</v>
      </c>
    </row>
    <row r="829" spans="1:9" x14ac:dyDescent="0.25">
      <c r="A829">
        <v>828</v>
      </c>
      <c r="B829" s="1" t="d">
        <v>2023-12-09</v>
      </c>
      <c r="C829" t="s">
        <v>841</v>
      </c>
      <c r="D829" t="s">
        <v>13</v>
      </c>
      <c r="E829" s="2">
        <v>33</v>
      </c>
      <c r="F829" t="s">
        <v>16</v>
      </c>
      <c r="G829" s="2">
        <v>4</v>
      </c>
      <c r="H829" s="15">
        <v>300</v>
      </c>
      <c r="I829" s="14">
        <v>1200</v>
      </c>
    </row>
    <row r="830" spans="1:9" x14ac:dyDescent="0.25">
      <c r="A830">
        <v>829</v>
      </c>
      <c r="B830" s="1" t="d">
        <v>2023-07-14</v>
      </c>
      <c r="C830" t="s">
        <v>842</v>
      </c>
      <c r="D830" t="s">
        <v>10</v>
      </c>
      <c r="E830" s="2">
        <v>61</v>
      </c>
      <c r="F830" t="s">
        <v>11</v>
      </c>
      <c r="G830" s="2">
        <v>3</v>
      </c>
      <c r="H830" s="15">
        <v>30</v>
      </c>
      <c r="I830" s="14">
        <v>90</v>
      </c>
    </row>
    <row r="831" spans="1:9" x14ac:dyDescent="0.25">
      <c r="A831">
        <v>830</v>
      </c>
      <c r="B831" s="1" t="d">
        <v>2023-06-22</v>
      </c>
      <c r="C831" t="s">
        <v>843</v>
      </c>
      <c r="D831" t="s">
        <v>13</v>
      </c>
      <c r="E831" s="2">
        <v>64</v>
      </c>
      <c r="F831" t="s">
        <v>14</v>
      </c>
      <c r="G831" s="2">
        <v>3</v>
      </c>
      <c r="H831" s="15">
        <v>50</v>
      </c>
      <c r="I831" s="14">
        <v>150</v>
      </c>
    </row>
    <row r="832" spans="1:9" x14ac:dyDescent="0.25">
      <c r="A832">
        <v>831</v>
      </c>
      <c r="B832" s="1" t="d">
        <v>2023-01-15</v>
      </c>
      <c r="C832" t="s">
        <v>844</v>
      </c>
      <c r="D832" t="s">
        <v>10</v>
      </c>
      <c r="E832" s="2">
        <v>27</v>
      </c>
      <c r="F832" t="s">
        <v>16</v>
      </c>
      <c r="G832" s="2">
        <v>4</v>
      </c>
      <c r="H832" s="15">
        <v>25</v>
      </c>
      <c r="I832" s="14">
        <v>100</v>
      </c>
    </row>
    <row r="833" spans="1:9" x14ac:dyDescent="0.25">
      <c r="A833">
        <v>832</v>
      </c>
      <c r="B833" s="1" t="d">
        <v>2023-09-11</v>
      </c>
      <c r="C833" t="s">
        <v>845</v>
      </c>
      <c r="D833" t="s">
        <v>10</v>
      </c>
      <c r="E833" s="2">
        <v>47</v>
      </c>
      <c r="F833" t="s">
        <v>11</v>
      </c>
      <c r="G833" s="2">
        <v>4</v>
      </c>
      <c r="H833" s="15">
        <v>500</v>
      </c>
      <c r="I833" s="14">
        <v>2000</v>
      </c>
    </row>
    <row r="834" spans="1:9" x14ac:dyDescent="0.25">
      <c r="A834">
        <v>833</v>
      </c>
      <c r="B834" s="1" t="d">
        <v>2023-06-16</v>
      </c>
      <c r="C834" t="s">
        <v>846</v>
      </c>
      <c r="D834" t="s">
        <v>10</v>
      </c>
      <c r="E834" s="2">
        <v>42</v>
      </c>
      <c r="F834" t="s">
        <v>11</v>
      </c>
      <c r="G834" s="2">
        <v>4</v>
      </c>
      <c r="H834" s="15">
        <v>50</v>
      </c>
      <c r="I834" s="14">
        <v>200</v>
      </c>
    </row>
    <row r="835" spans="1:9" x14ac:dyDescent="0.25">
      <c r="A835">
        <v>834</v>
      </c>
      <c r="B835" s="1" t="d">
        <v>2023-04-04</v>
      </c>
      <c r="C835" t="s">
        <v>847</v>
      </c>
      <c r="D835" t="s">
        <v>13</v>
      </c>
      <c r="E835" s="2">
        <v>56</v>
      </c>
      <c r="F835" t="s">
        <v>11</v>
      </c>
      <c r="G835" s="2">
        <v>2</v>
      </c>
      <c r="H835" s="15">
        <v>30</v>
      </c>
      <c r="I835" s="14">
        <v>60</v>
      </c>
    </row>
    <row r="836" spans="1:9" x14ac:dyDescent="0.25">
      <c r="A836">
        <v>835</v>
      </c>
      <c r="B836" s="1" t="d">
        <v>2023-09-07</v>
      </c>
      <c r="C836" t="s">
        <v>848</v>
      </c>
      <c r="D836" t="s">
        <v>10</v>
      </c>
      <c r="E836" s="2">
        <v>37</v>
      </c>
      <c r="F836" t="s">
        <v>14</v>
      </c>
      <c r="G836" s="2">
        <v>4</v>
      </c>
      <c r="H836" s="15">
        <v>50</v>
      </c>
      <c r="I836" s="14">
        <v>200</v>
      </c>
    </row>
    <row r="837" spans="1:9" x14ac:dyDescent="0.25">
      <c r="A837">
        <v>836</v>
      </c>
      <c r="B837" s="1" t="d">
        <v>2023-04-19</v>
      </c>
      <c r="C837" t="s">
        <v>849</v>
      </c>
      <c r="D837" t="s">
        <v>13</v>
      </c>
      <c r="E837" s="2">
        <v>22</v>
      </c>
      <c r="F837" t="s">
        <v>14</v>
      </c>
      <c r="G837" s="2">
        <v>1</v>
      </c>
      <c r="H837" s="15">
        <v>50</v>
      </c>
      <c r="I837" s="14">
        <v>50</v>
      </c>
    </row>
    <row r="838" spans="1:9" x14ac:dyDescent="0.25">
      <c r="A838">
        <v>837</v>
      </c>
      <c r="B838" s="1" t="d">
        <v>2023-07-01</v>
      </c>
      <c r="C838" t="s">
        <v>850</v>
      </c>
      <c r="D838" t="s">
        <v>10</v>
      </c>
      <c r="E838" s="2">
        <v>18</v>
      </c>
      <c r="F838" t="s">
        <v>11</v>
      </c>
      <c r="G838" s="2">
        <v>3</v>
      </c>
      <c r="H838" s="15">
        <v>30</v>
      </c>
      <c r="I838" s="14">
        <v>90</v>
      </c>
    </row>
    <row r="839" spans="1:9" x14ac:dyDescent="0.25">
      <c r="A839">
        <v>838</v>
      </c>
      <c r="B839" s="1" t="d">
        <v>2023-05-13</v>
      </c>
      <c r="C839" t="s">
        <v>851</v>
      </c>
      <c r="D839" t="s">
        <v>10</v>
      </c>
      <c r="E839" s="2">
        <v>47</v>
      </c>
      <c r="F839" t="s">
        <v>16</v>
      </c>
      <c r="G839" s="2">
        <v>2</v>
      </c>
      <c r="H839" s="15">
        <v>300</v>
      </c>
      <c r="I839" s="14">
        <v>600</v>
      </c>
    </row>
    <row r="840" spans="1:9" x14ac:dyDescent="0.25">
      <c r="A840">
        <v>839</v>
      </c>
      <c r="B840" s="1" t="d">
        <v>2023-06-24</v>
      </c>
      <c r="C840" t="s">
        <v>852</v>
      </c>
      <c r="D840" t="s">
        <v>13</v>
      </c>
      <c r="E840" s="2">
        <v>20</v>
      </c>
      <c r="F840" t="s">
        <v>16</v>
      </c>
      <c r="G840" s="2">
        <v>4</v>
      </c>
      <c r="H840" s="15">
        <v>300</v>
      </c>
      <c r="I840" s="14">
        <v>1200</v>
      </c>
    </row>
    <row r="841" spans="1:9" x14ac:dyDescent="0.25">
      <c r="A841">
        <v>840</v>
      </c>
      <c r="B841" s="1" t="d">
        <v>2023-05-24</v>
      </c>
      <c r="C841" t="s">
        <v>853</v>
      </c>
      <c r="D841" t="s">
        <v>10</v>
      </c>
      <c r="E841" s="2">
        <v>62</v>
      </c>
      <c r="F841" t="s">
        <v>14</v>
      </c>
      <c r="G841" s="2">
        <v>2</v>
      </c>
      <c r="H841" s="15">
        <v>25</v>
      </c>
      <c r="I841" s="14">
        <v>50</v>
      </c>
    </row>
    <row r="842" spans="1:9" x14ac:dyDescent="0.25">
      <c r="A842">
        <v>841</v>
      </c>
      <c r="B842" s="1" t="d">
        <v>2023-11-02</v>
      </c>
      <c r="C842" t="s">
        <v>854</v>
      </c>
      <c r="D842" t="s">
        <v>10</v>
      </c>
      <c r="E842" s="2">
        <v>31</v>
      </c>
      <c r="F842" t="s">
        <v>16</v>
      </c>
      <c r="G842" s="2">
        <v>4</v>
      </c>
      <c r="H842" s="15">
        <v>25</v>
      </c>
      <c r="I842" s="14">
        <v>100</v>
      </c>
    </row>
    <row r="843" spans="1:9" x14ac:dyDescent="0.25">
      <c r="A843">
        <v>842</v>
      </c>
      <c r="B843" s="1" t="d">
        <v>2023-12-26</v>
      </c>
      <c r="C843" t="s">
        <v>855</v>
      </c>
      <c r="D843" t="s">
        <v>13</v>
      </c>
      <c r="E843" s="2">
        <v>47</v>
      </c>
      <c r="F843" t="s">
        <v>14</v>
      </c>
      <c r="G843" s="2">
        <v>2</v>
      </c>
      <c r="H843" s="15">
        <v>300</v>
      </c>
      <c r="I843" s="14">
        <v>600</v>
      </c>
    </row>
    <row r="844" spans="1:9" x14ac:dyDescent="0.25">
      <c r="A844">
        <v>843</v>
      </c>
      <c r="B844" s="1" t="d">
        <v>2023-05-22</v>
      </c>
      <c r="C844" t="s">
        <v>856</v>
      </c>
      <c r="D844" t="s">
        <v>10</v>
      </c>
      <c r="E844" s="2">
        <v>21</v>
      </c>
      <c r="F844" t="s">
        <v>11</v>
      </c>
      <c r="G844" s="2">
        <v>3</v>
      </c>
      <c r="H844" s="15">
        <v>500</v>
      </c>
      <c r="I844" s="14">
        <v>1500</v>
      </c>
    </row>
    <row r="845" spans="1:9" x14ac:dyDescent="0.25">
      <c r="A845">
        <v>844</v>
      </c>
      <c r="B845" s="1" t="d">
        <v>2023-10-12</v>
      </c>
      <c r="C845" t="s">
        <v>857</v>
      </c>
      <c r="D845" t="s">
        <v>10</v>
      </c>
      <c r="E845" s="2">
        <v>35</v>
      </c>
      <c r="F845" t="s">
        <v>14</v>
      </c>
      <c r="G845" s="2">
        <v>3</v>
      </c>
      <c r="H845" s="15">
        <v>50</v>
      </c>
      <c r="I845" s="14">
        <v>150</v>
      </c>
    </row>
    <row r="846" spans="1:9" x14ac:dyDescent="0.25">
      <c r="A846">
        <v>845</v>
      </c>
      <c r="B846" s="1" t="d">
        <v>2023-01-06</v>
      </c>
      <c r="C846" t="s">
        <v>858</v>
      </c>
      <c r="D846" t="s">
        <v>10</v>
      </c>
      <c r="E846" s="2">
        <v>54</v>
      </c>
      <c r="F846" t="s">
        <v>14</v>
      </c>
      <c r="G846" s="2">
        <v>1</v>
      </c>
      <c r="H846" s="15">
        <v>500</v>
      </c>
      <c r="I846" s="14">
        <v>500</v>
      </c>
    </row>
    <row r="847" spans="1:9" x14ac:dyDescent="0.25">
      <c r="A847">
        <v>846</v>
      </c>
      <c r="B847" s="1" t="d">
        <v>2023-09-22</v>
      </c>
      <c r="C847" t="s">
        <v>859</v>
      </c>
      <c r="D847" t="s">
        <v>10</v>
      </c>
      <c r="E847" s="2">
        <v>42</v>
      </c>
      <c r="F847" t="s">
        <v>11</v>
      </c>
      <c r="G847" s="2">
        <v>1</v>
      </c>
      <c r="H847" s="15">
        <v>50</v>
      </c>
      <c r="I847" s="14">
        <v>50</v>
      </c>
    </row>
    <row r="848" spans="1:9" x14ac:dyDescent="0.25">
      <c r="A848">
        <v>847</v>
      </c>
      <c r="B848" s="1" t="d">
        <v>2023-04-08</v>
      </c>
      <c r="C848" t="s">
        <v>860</v>
      </c>
      <c r="D848" t="s">
        <v>13</v>
      </c>
      <c r="E848" s="2">
        <v>18</v>
      </c>
      <c r="F848" t="s">
        <v>16</v>
      </c>
      <c r="G848" s="2">
        <v>4</v>
      </c>
      <c r="H848" s="15">
        <v>300</v>
      </c>
      <c r="I848" s="14">
        <v>1200</v>
      </c>
    </row>
    <row r="849" spans="1:9" x14ac:dyDescent="0.25">
      <c r="A849">
        <v>848</v>
      </c>
      <c r="B849" s="1" t="d">
        <v>2023-02-13</v>
      </c>
      <c r="C849" t="s">
        <v>861</v>
      </c>
      <c r="D849" t="s">
        <v>13</v>
      </c>
      <c r="E849" s="2">
        <v>63</v>
      </c>
      <c r="F849" t="s">
        <v>14</v>
      </c>
      <c r="G849" s="2">
        <v>3</v>
      </c>
      <c r="H849" s="15">
        <v>25</v>
      </c>
      <c r="I849" s="14">
        <v>75</v>
      </c>
    </row>
    <row r="850" spans="1:9" x14ac:dyDescent="0.25">
      <c r="A850">
        <v>849</v>
      </c>
      <c r="B850" s="1" t="d">
        <v>2023-05-04</v>
      </c>
      <c r="C850" t="s">
        <v>862</v>
      </c>
      <c r="D850" t="s">
        <v>10</v>
      </c>
      <c r="E850" s="2">
        <v>32</v>
      </c>
      <c r="F850" t="s">
        <v>14</v>
      </c>
      <c r="G850" s="2">
        <v>2</v>
      </c>
      <c r="H850" s="15">
        <v>25</v>
      </c>
      <c r="I850" s="14">
        <v>50</v>
      </c>
    </row>
    <row r="851" spans="1:9" x14ac:dyDescent="0.25">
      <c r="A851">
        <v>850</v>
      </c>
      <c r="B851" s="1" t="d">
        <v>2023-07-28</v>
      </c>
      <c r="C851" t="s">
        <v>863</v>
      </c>
      <c r="D851" t="s">
        <v>13</v>
      </c>
      <c r="E851" s="2">
        <v>26</v>
      </c>
      <c r="F851" t="s">
        <v>11</v>
      </c>
      <c r="G851" s="2">
        <v>2</v>
      </c>
      <c r="H851" s="15">
        <v>500</v>
      </c>
      <c r="I851" s="14">
        <v>1000</v>
      </c>
    </row>
    <row r="852" spans="1:9" x14ac:dyDescent="0.25">
      <c r="A852">
        <v>851</v>
      </c>
      <c r="B852" s="1" t="d">
        <v>2023-09-08</v>
      </c>
      <c r="C852" t="s">
        <v>864</v>
      </c>
      <c r="D852" t="s">
        <v>10</v>
      </c>
      <c r="E852" s="2">
        <v>32</v>
      </c>
      <c r="F852" t="s">
        <v>16</v>
      </c>
      <c r="G852" s="2">
        <v>2</v>
      </c>
      <c r="H852" s="15">
        <v>25</v>
      </c>
      <c r="I852" s="14">
        <v>50</v>
      </c>
    </row>
    <row r="853" spans="1:9" x14ac:dyDescent="0.25">
      <c r="A853">
        <v>852</v>
      </c>
      <c r="B853" s="1" t="d">
        <v>2023-10-12</v>
      </c>
      <c r="C853" t="s">
        <v>865</v>
      </c>
      <c r="D853" t="s">
        <v>13</v>
      </c>
      <c r="E853" s="2">
        <v>41</v>
      </c>
      <c r="F853" t="s">
        <v>14</v>
      </c>
      <c r="G853" s="2">
        <v>1</v>
      </c>
      <c r="H853" s="15">
        <v>300</v>
      </c>
      <c r="I853" s="14">
        <v>300</v>
      </c>
    </row>
    <row r="854" spans="1:9" x14ac:dyDescent="0.25">
      <c r="A854">
        <v>853</v>
      </c>
      <c r="B854" s="1" t="d">
        <v>2023-05-04</v>
      </c>
      <c r="C854" t="s">
        <v>866</v>
      </c>
      <c r="D854" t="s">
        <v>10</v>
      </c>
      <c r="E854" s="2">
        <v>21</v>
      </c>
      <c r="F854" t="s">
        <v>11</v>
      </c>
      <c r="G854" s="2">
        <v>2</v>
      </c>
      <c r="H854" s="15">
        <v>500</v>
      </c>
      <c r="I854" s="14">
        <v>1000</v>
      </c>
    </row>
    <row r="855" spans="1:9" x14ac:dyDescent="0.25">
      <c r="A855">
        <v>854</v>
      </c>
      <c r="B855" s="1" t="d">
        <v>2023-12-20</v>
      </c>
      <c r="C855" t="s">
        <v>867</v>
      </c>
      <c r="D855" t="s">
        <v>10</v>
      </c>
      <c r="E855" s="2">
        <v>29</v>
      </c>
      <c r="F855" t="s">
        <v>14</v>
      </c>
      <c r="G855" s="2">
        <v>1</v>
      </c>
      <c r="H855" s="15">
        <v>50</v>
      </c>
      <c r="I855" s="14">
        <v>50</v>
      </c>
    </row>
    <row r="856" spans="1:9" x14ac:dyDescent="0.25">
      <c r="A856">
        <v>855</v>
      </c>
      <c r="B856" s="1" t="d">
        <v>2023-09-01</v>
      </c>
      <c r="C856" t="s">
        <v>868</v>
      </c>
      <c r="D856" t="s">
        <v>10</v>
      </c>
      <c r="E856" s="2">
        <v>54</v>
      </c>
      <c r="F856" t="s">
        <v>11</v>
      </c>
      <c r="G856" s="2">
        <v>1</v>
      </c>
      <c r="H856" s="15">
        <v>25</v>
      </c>
      <c r="I856" s="14">
        <v>25</v>
      </c>
    </row>
    <row r="857" spans="1:9" x14ac:dyDescent="0.25">
      <c r="A857">
        <v>856</v>
      </c>
      <c r="B857" s="1" t="d">
        <v>2023-11-27</v>
      </c>
      <c r="C857" t="s">
        <v>869</v>
      </c>
      <c r="D857" t="s">
        <v>10</v>
      </c>
      <c r="E857" s="2">
        <v>54</v>
      </c>
      <c r="F857" t="s">
        <v>16</v>
      </c>
      <c r="G857" s="2">
        <v>4</v>
      </c>
      <c r="H857" s="15">
        <v>30</v>
      </c>
      <c r="I857" s="14">
        <v>120</v>
      </c>
    </row>
    <row r="858" spans="1:9" x14ac:dyDescent="0.25">
      <c r="A858">
        <v>857</v>
      </c>
      <c r="B858" s="1" t="d">
        <v>2023-12-31</v>
      </c>
      <c r="C858" t="s">
        <v>870</v>
      </c>
      <c r="D858" t="s">
        <v>10</v>
      </c>
      <c r="E858" s="2">
        <v>60</v>
      </c>
      <c r="F858" t="s">
        <v>16</v>
      </c>
      <c r="G858" s="2">
        <v>2</v>
      </c>
      <c r="H858" s="15">
        <v>25</v>
      </c>
      <c r="I858" s="14">
        <v>50</v>
      </c>
    </row>
    <row r="859" spans="1:9" x14ac:dyDescent="0.25">
      <c r="A859">
        <v>858</v>
      </c>
      <c r="B859" s="1" t="d">
        <v>2023-09-09</v>
      </c>
      <c r="C859" t="s">
        <v>871</v>
      </c>
      <c r="D859" t="s">
        <v>10</v>
      </c>
      <c r="E859" s="2">
        <v>23</v>
      </c>
      <c r="F859" t="s">
        <v>16</v>
      </c>
      <c r="G859" s="2">
        <v>2</v>
      </c>
      <c r="H859" s="15">
        <v>50</v>
      </c>
      <c r="I859" s="14">
        <v>100</v>
      </c>
    </row>
    <row r="860" spans="1:9" x14ac:dyDescent="0.25">
      <c r="A860">
        <v>859</v>
      </c>
      <c r="B860" s="1" t="d">
        <v>2023-08-18</v>
      </c>
      <c r="C860" t="s">
        <v>872</v>
      </c>
      <c r="D860" t="s">
        <v>13</v>
      </c>
      <c r="E860" s="2">
        <v>56</v>
      </c>
      <c r="F860" t="s">
        <v>16</v>
      </c>
      <c r="G860" s="2">
        <v>3</v>
      </c>
      <c r="H860" s="15">
        <v>500</v>
      </c>
      <c r="I860" s="14">
        <v>1500</v>
      </c>
    </row>
    <row r="861" spans="1:9" x14ac:dyDescent="0.25">
      <c r="A861">
        <v>860</v>
      </c>
      <c r="B861" s="1" t="d">
        <v>2023-01-09</v>
      </c>
      <c r="C861" t="s">
        <v>873</v>
      </c>
      <c r="D861" t="s">
        <v>10</v>
      </c>
      <c r="E861" s="2">
        <v>63</v>
      </c>
      <c r="F861" t="s">
        <v>14</v>
      </c>
      <c r="G861" s="2">
        <v>4</v>
      </c>
      <c r="H861" s="15">
        <v>50</v>
      </c>
      <c r="I861" s="14">
        <v>200</v>
      </c>
    </row>
    <row r="862" spans="1:9" x14ac:dyDescent="0.25">
      <c r="A862">
        <v>861</v>
      </c>
      <c r="B862" s="1" t="d">
        <v>2023-02-17</v>
      </c>
      <c r="C862" t="s">
        <v>874</v>
      </c>
      <c r="D862" t="s">
        <v>13</v>
      </c>
      <c r="E862" s="2">
        <v>41</v>
      </c>
      <c r="F862" t="s">
        <v>14</v>
      </c>
      <c r="G862" s="2">
        <v>3</v>
      </c>
      <c r="H862" s="15">
        <v>30</v>
      </c>
      <c r="I862" s="14">
        <v>90</v>
      </c>
    </row>
    <row r="863" spans="1:9" x14ac:dyDescent="0.25">
      <c r="A863">
        <v>862</v>
      </c>
      <c r="B863" s="1" t="d">
        <v>2023-05-31</v>
      </c>
      <c r="C863" t="s">
        <v>875</v>
      </c>
      <c r="D863" t="s">
        <v>10</v>
      </c>
      <c r="E863" s="2">
        <v>28</v>
      </c>
      <c r="F863" t="s">
        <v>16</v>
      </c>
      <c r="G863" s="2">
        <v>4</v>
      </c>
      <c r="H863" s="15">
        <v>300</v>
      </c>
      <c r="I863" s="14">
        <v>1200</v>
      </c>
    </row>
    <row r="864" spans="1:9" x14ac:dyDescent="0.25">
      <c r="A864">
        <v>863</v>
      </c>
      <c r="B864" s="1" t="d">
        <v>2023-04-24</v>
      </c>
      <c r="C864" t="s">
        <v>876</v>
      </c>
      <c r="D864" t="s">
        <v>13</v>
      </c>
      <c r="E864" s="2">
        <v>30</v>
      </c>
      <c r="F864" t="s">
        <v>16</v>
      </c>
      <c r="G864" s="2">
        <v>2</v>
      </c>
      <c r="H864" s="15">
        <v>25</v>
      </c>
      <c r="I864" s="14">
        <v>50</v>
      </c>
    </row>
    <row r="865" spans="1:9" x14ac:dyDescent="0.25">
      <c r="A865">
        <v>864</v>
      </c>
      <c r="B865" s="1" t="d">
        <v>2023-07-27</v>
      </c>
      <c r="C865" t="s">
        <v>877</v>
      </c>
      <c r="D865" t="s">
        <v>13</v>
      </c>
      <c r="E865" s="2">
        <v>51</v>
      </c>
      <c r="F865" t="s">
        <v>16</v>
      </c>
      <c r="G865" s="2">
        <v>1</v>
      </c>
      <c r="H865" s="15">
        <v>500</v>
      </c>
      <c r="I865" s="14">
        <v>500</v>
      </c>
    </row>
    <row r="866" spans="1:9" x14ac:dyDescent="0.25">
      <c r="A866">
        <v>865</v>
      </c>
      <c r="B866" s="1" t="d">
        <v>2023-12-21</v>
      </c>
      <c r="C866" t="s">
        <v>878</v>
      </c>
      <c r="D866" t="s">
        <v>13</v>
      </c>
      <c r="E866" s="2">
        <v>42</v>
      </c>
      <c r="F866" t="s">
        <v>14</v>
      </c>
      <c r="G866" s="2">
        <v>1</v>
      </c>
      <c r="H866" s="15">
        <v>300</v>
      </c>
      <c r="I866" s="14">
        <v>300</v>
      </c>
    </row>
    <row r="867" spans="1:9" x14ac:dyDescent="0.25">
      <c r="A867">
        <v>866</v>
      </c>
      <c r="B867" s="1" t="d">
        <v>2023-05-05</v>
      </c>
      <c r="C867" t="s">
        <v>879</v>
      </c>
      <c r="D867" t="s">
        <v>10</v>
      </c>
      <c r="E867" s="2">
        <v>24</v>
      </c>
      <c r="F867" t="s">
        <v>16</v>
      </c>
      <c r="G867" s="2">
        <v>1</v>
      </c>
      <c r="H867" s="15">
        <v>50</v>
      </c>
      <c r="I867" s="14">
        <v>50</v>
      </c>
    </row>
    <row r="868" spans="1:9" x14ac:dyDescent="0.25">
      <c r="A868">
        <v>867</v>
      </c>
      <c r="B868" s="1" t="d">
        <v>2023-06-06</v>
      </c>
      <c r="C868" t="s">
        <v>880</v>
      </c>
      <c r="D868" t="s">
        <v>10</v>
      </c>
      <c r="E868" s="2">
        <v>21</v>
      </c>
      <c r="F868" t="s">
        <v>16</v>
      </c>
      <c r="G868" s="2">
        <v>1</v>
      </c>
      <c r="H868" s="15">
        <v>500</v>
      </c>
      <c r="I868" s="14">
        <v>500</v>
      </c>
    </row>
    <row r="869" spans="1:9" x14ac:dyDescent="0.25">
      <c r="A869">
        <v>868</v>
      </c>
      <c r="B869" s="1" t="d">
        <v>2023-12-06</v>
      </c>
      <c r="C869" t="s">
        <v>881</v>
      </c>
      <c r="D869" t="s">
        <v>13</v>
      </c>
      <c r="E869" s="2">
        <v>25</v>
      </c>
      <c r="F869" t="s">
        <v>16</v>
      </c>
      <c r="G869" s="2">
        <v>1</v>
      </c>
      <c r="H869" s="15">
        <v>300</v>
      </c>
      <c r="I869" s="14">
        <v>300</v>
      </c>
    </row>
    <row r="870" spans="1:9" x14ac:dyDescent="0.25">
      <c r="A870">
        <v>869</v>
      </c>
      <c r="B870" s="1" t="d">
        <v>2023-10-25</v>
      </c>
      <c r="C870" t="s">
        <v>882</v>
      </c>
      <c r="D870" t="s">
        <v>10</v>
      </c>
      <c r="E870" s="2">
        <v>37</v>
      </c>
      <c r="F870" t="s">
        <v>11</v>
      </c>
      <c r="G870" s="2">
        <v>3</v>
      </c>
      <c r="H870" s="15">
        <v>500</v>
      </c>
      <c r="I870" s="14">
        <v>1500</v>
      </c>
    </row>
    <row r="871" spans="1:9" x14ac:dyDescent="0.25">
      <c r="A871">
        <v>870</v>
      </c>
      <c r="B871" s="1" t="d">
        <v>2023-07-08</v>
      </c>
      <c r="C871" t="s">
        <v>883</v>
      </c>
      <c r="D871" t="s">
        <v>13</v>
      </c>
      <c r="E871" s="2">
        <v>46</v>
      </c>
      <c r="F871" t="s">
        <v>16</v>
      </c>
      <c r="G871" s="2">
        <v>4</v>
      </c>
      <c r="H871" s="15">
        <v>30</v>
      </c>
      <c r="I871" s="14">
        <v>120</v>
      </c>
    </row>
    <row r="872" spans="1:9" x14ac:dyDescent="0.25">
      <c r="A872">
        <v>871</v>
      </c>
      <c r="B872" s="1" t="d">
        <v>2023-08-31</v>
      </c>
      <c r="C872" t="s">
        <v>884</v>
      </c>
      <c r="D872" t="s">
        <v>10</v>
      </c>
      <c r="E872" s="2">
        <v>62</v>
      </c>
      <c r="F872" t="s">
        <v>11</v>
      </c>
      <c r="G872" s="2">
        <v>2</v>
      </c>
      <c r="H872" s="15">
        <v>30</v>
      </c>
      <c r="I872" s="14">
        <v>60</v>
      </c>
    </row>
    <row r="873" spans="1:9" x14ac:dyDescent="0.25">
      <c r="A873">
        <v>872</v>
      </c>
      <c r="B873" s="1" t="d">
        <v>2023-10-11</v>
      </c>
      <c r="C873" t="s">
        <v>885</v>
      </c>
      <c r="D873" t="s">
        <v>13</v>
      </c>
      <c r="E873" s="2">
        <v>63</v>
      </c>
      <c r="F873" t="s">
        <v>11</v>
      </c>
      <c r="G873" s="2">
        <v>3</v>
      </c>
      <c r="H873" s="15">
        <v>25</v>
      </c>
      <c r="I873" s="14">
        <v>75</v>
      </c>
    </row>
    <row r="874" spans="1:9" x14ac:dyDescent="0.25">
      <c r="A874">
        <v>873</v>
      </c>
      <c r="B874" s="1" t="d">
        <v>2023-09-29</v>
      </c>
      <c r="C874" t="s">
        <v>886</v>
      </c>
      <c r="D874" t="s">
        <v>13</v>
      </c>
      <c r="E874" s="2">
        <v>27</v>
      </c>
      <c r="F874" t="s">
        <v>16</v>
      </c>
      <c r="G874" s="2">
        <v>4</v>
      </c>
      <c r="H874" s="15">
        <v>25</v>
      </c>
      <c r="I874" s="14">
        <v>100</v>
      </c>
    </row>
    <row r="875" spans="1:9" x14ac:dyDescent="0.25">
      <c r="A875">
        <v>874</v>
      </c>
      <c r="B875" s="1" t="d">
        <v>2023-06-26</v>
      </c>
      <c r="C875" t="s">
        <v>887</v>
      </c>
      <c r="D875" t="s">
        <v>10</v>
      </c>
      <c r="E875" s="2">
        <v>60</v>
      </c>
      <c r="F875" t="s">
        <v>11</v>
      </c>
      <c r="G875" s="2">
        <v>1</v>
      </c>
      <c r="H875" s="15">
        <v>30</v>
      </c>
      <c r="I875" s="14">
        <v>30</v>
      </c>
    </row>
    <row r="876" spans="1:9" x14ac:dyDescent="0.25">
      <c r="A876">
        <v>875</v>
      </c>
      <c r="B876" s="1" t="d">
        <v>2023-08-06</v>
      </c>
      <c r="C876" t="s">
        <v>888</v>
      </c>
      <c r="D876" t="s">
        <v>13</v>
      </c>
      <c r="E876" s="2">
        <v>51</v>
      </c>
      <c r="F876" t="s">
        <v>16</v>
      </c>
      <c r="G876" s="2">
        <v>4</v>
      </c>
      <c r="H876" s="15">
        <v>500</v>
      </c>
      <c r="I876" s="14">
        <v>2000</v>
      </c>
    </row>
    <row r="877" spans="1:9" x14ac:dyDescent="0.25">
      <c r="A877">
        <v>876</v>
      </c>
      <c r="B877" s="1" t="d">
        <v>2023-10-09</v>
      </c>
      <c r="C877" t="s">
        <v>889</v>
      </c>
      <c r="D877" t="s">
        <v>10</v>
      </c>
      <c r="E877" s="2">
        <v>43</v>
      </c>
      <c r="F877" t="s">
        <v>14</v>
      </c>
      <c r="G877" s="2">
        <v>4</v>
      </c>
      <c r="H877" s="15">
        <v>30</v>
      </c>
      <c r="I877" s="14">
        <v>120</v>
      </c>
    </row>
    <row r="878" spans="1:9" x14ac:dyDescent="0.25">
      <c r="A878">
        <v>877</v>
      </c>
      <c r="B878" s="1" t="d">
        <v>2023-06-19</v>
      </c>
      <c r="C878" t="s">
        <v>890</v>
      </c>
      <c r="D878" t="s">
        <v>13</v>
      </c>
      <c r="E878" s="2">
        <v>58</v>
      </c>
      <c r="F878" t="s">
        <v>14</v>
      </c>
      <c r="G878" s="2">
        <v>1</v>
      </c>
      <c r="H878" s="15">
        <v>25</v>
      </c>
      <c r="I878" s="14">
        <v>25</v>
      </c>
    </row>
    <row r="879" spans="1:9" x14ac:dyDescent="0.25">
      <c r="A879">
        <v>878</v>
      </c>
      <c r="B879" s="1" t="d">
        <v>2023-06-30</v>
      </c>
      <c r="C879" t="s">
        <v>891</v>
      </c>
      <c r="D879" t="s">
        <v>13</v>
      </c>
      <c r="E879" s="2">
        <v>20</v>
      </c>
      <c r="F879" t="s">
        <v>14</v>
      </c>
      <c r="G879" s="2">
        <v>1</v>
      </c>
      <c r="H879" s="15">
        <v>30</v>
      </c>
      <c r="I879" s="14">
        <v>30</v>
      </c>
    </row>
    <row r="880" spans="1:9" x14ac:dyDescent="0.25">
      <c r="A880">
        <v>879</v>
      </c>
      <c r="B880" s="1" t="d">
        <v>2023-12-26</v>
      </c>
      <c r="C880" t="s">
        <v>892</v>
      </c>
      <c r="D880" t="s">
        <v>10</v>
      </c>
      <c r="E880" s="2">
        <v>23</v>
      </c>
      <c r="F880" t="s">
        <v>14</v>
      </c>
      <c r="G880" s="2">
        <v>1</v>
      </c>
      <c r="H880" s="15">
        <v>30</v>
      </c>
      <c r="I880" s="14">
        <v>30</v>
      </c>
    </row>
    <row r="881" spans="1:9" x14ac:dyDescent="0.25">
      <c r="A881">
        <v>880</v>
      </c>
      <c r="B881" s="1" t="d">
        <v>2023-08-21</v>
      </c>
      <c r="C881" t="s">
        <v>893</v>
      </c>
      <c r="D881" t="s">
        <v>10</v>
      </c>
      <c r="E881" s="2">
        <v>22</v>
      </c>
      <c r="F881" t="s">
        <v>11</v>
      </c>
      <c r="G881" s="2">
        <v>2</v>
      </c>
      <c r="H881" s="15">
        <v>500</v>
      </c>
      <c r="I881" s="14">
        <v>1000</v>
      </c>
    </row>
    <row r="882" spans="1:9" x14ac:dyDescent="0.25">
      <c r="A882">
        <v>881</v>
      </c>
      <c r="B882" s="1" t="d">
        <v>2023-05-19</v>
      </c>
      <c r="C882" t="s">
        <v>894</v>
      </c>
      <c r="D882" t="s">
        <v>10</v>
      </c>
      <c r="E882" s="2">
        <v>22</v>
      </c>
      <c r="F882" t="s">
        <v>16</v>
      </c>
      <c r="G882" s="2">
        <v>1</v>
      </c>
      <c r="H882" s="15">
        <v>300</v>
      </c>
      <c r="I882" s="14">
        <v>300</v>
      </c>
    </row>
    <row r="883" spans="1:9" x14ac:dyDescent="0.25">
      <c r="A883">
        <v>882</v>
      </c>
      <c r="B883" s="1" t="d">
        <v>2023-06-06</v>
      </c>
      <c r="C883" t="s">
        <v>895</v>
      </c>
      <c r="D883" t="s">
        <v>13</v>
      </c>
      <c r="E883" s="2">
        <v>64</v>
      </c>
      <c r="F883" t="s">
        <v>16</v>
      </c>
      <c r="G883" s="2">
        <v>2</v>
      </c>
      <c r="H883" s="15">
        <v>25</v>
      </c>
      <c r="I883" s="14">
        <v>50</v>
      </c>
    </row>
    <row r="884" spans="1:9" x14ac:dyDescent="0.25">
      <c r="A884">
        <v>883</v>
      </c>
      <c r="B884" s="1" t="d">
        <v>2023-05-09</v>
      </c>
      <c r="C884" t="s">
        <v>896</v>
      </c>
      <c r="D884" t="s">
        <v>10</v>
      </c>
      <c r="E884" s="2">
        <v>40</v>
      </c>
      <c r="F884" t="s">
        <v>16</v>
      </c>
      <c r="G884" s="2">
        <v>1</v>
      </c>
      <c r="H884" s="15">
        <v>500</v>
      </c>
      <c r="I884" s="14">
        <v>500</v>
      </c>
    </row>
    <row r="885" spans="1:9" x14ac:dyDescent="0.25">
      <c r="A885">
        <v>884</v>
      </c>
      <c r="B885" s="1" t="d">
        <v>2023-04-29</v>
      </c>
      <c r="C885" t="s">
        <v>897</v>
      </c>
      <c r="D885" t="s">
        <v>13</v>
      </c>
      <c r="E885" s="2">
        <v>26</v>
      </c>
      <c r="F885" t="s">
        <v>14</v>
      </c>
      <c r="G885" s="2">
        <v>2</v>
      </c>
      <c r="H885" s="15">
        <v>30</v>
      </c>
      <c r="I885" s="14">
        <v>60</v>
      </c>
    </row>
    <row r="886" spans="1:9" x14ac:dyDescent="0.25">
      <c r="A886">
        <v>885</v>
      </c>
      <c r="B886" s="1" t="d">
        <v>2023-03-03</v>
      </c>
      <c r="C886" t="s">
        <v>898</v>
      </c>
      <c r="D886" t="s">
        <v>13</v>
      </c>
      <c r="E886" s="2">
        <v>52</v>
      </c>
      <c r="F886" t="s">
        <v>14</v>
      </c>
      <c r="G886" s="2">
        <v>4</v>
      </c>
      <c r="H886" s="15">
        <v>30</v>
      </c>
      <c r="I886" s="14">
        <v>120</v>
      </c>
    </row>
    <row r="887" spans="1:9" x14ac:dyDescent="0.25">
      <c r="A887">
        <v>886</v>
      </c>
      <c r="B887" s="1" t="d">
        <v>2023-04-09</v>
      </c>
      <c r="C887" t="s">
        <v>899</v>
      </c>
      <c r="D887" t="s">
        <v>10</v>
      </c>
      <c r="E887" s="2">
        <v>37</v>
      </c>
      <c r="F887" t="s">
        <v>16</v>
      </c>
      <c r="G887" s="2">
        <v>3</v>
      </c>
      <c r="H887" s="15">
        <v>300</v>
      </c>
      <c r="I887" s="14">
        <v>900</v>
      </c>
    </row>
    <row r="888" spans="1:9" x14ac:dyDescent="0.25">
      <c r="A888">
        <v>887</v>
      </c>
      <c r="B888" s="1" t="d">
        <v>2023-06-11</v>
      </c>
      <c r="C888" t="s">
        <v>900</v>
      </c>
      <c r="D888" t="s">
        <v>10</v>
      </c>
      <c r="E888" s="2">
        <v>59</v>
      </c>
      <c r="F888" t="s">
        <v>14</v>
      </c>
      <c r="G888" s="2">
        <v>4</v>
      </c>
      <c r="H888" s="15">
        <v>25</v>
      </c>
      <c r="I888" s="14">
        <v>100</v>
      </c>
    </row>
    <row r="889" spans="1:9" x14ac:dyDescent="0.25">
      <c r="A889">
        <v>888</v>
      </c>
      <c r="B889" s="1" t="d">
        <v>2023-03-03</v>
      </c>
      <c r="C889" t="s">
        <v>901</v>
      </c>
      <c r="D889" t="s">
        <v>13</v>
      </c>
      <c r="E889" s="2">
        <v>52</v>
      </c>
      <c r="F889" t="s">
        <v>16</v>
      </c>
      <c r="G889" s="2">
        <v>4</v>
      </c>
      <c r="H889" s="15">
        <v>25</v>
      </c>
      <c r="I889" s="14">
        <v>100</v>
      </c>
    </row>
    <row r="890" spans="1:9" x14ac:dyDescent="0.25">
      <c r="A890">
        <v>889</v>
      </c>
      <c r="B890" s="1" t="d">
        <v>2023-10-02</v>
      </c>
      <c r="C890" t="s">
        <v>902</v>
      </c>
      <c r="D890" t="s">
        <v>13</v>
      </c>
      <c r="E890" s="2">
        <v>35</v>
      </c>
      <c r="F890" t="s">
        <v>16</v>
      </c>
      <c r="G890" s="2">
        <v>1</v>
      </c>
      <c r="H890" s="15">
        <v>50</v>
      </c>
      <c r="I890" s="14">
        <v>50</v>
      </c>
    </row>
    <row r="891" spans="1:9" x14ac:dyDescent="0.25">
      <c r="A891">
        <v>890</v>
      </c>
      <c r="B891" s="1" t="d">
        <v>2023-12-20</v>
      </c>
      <c r="C891" t="s">
        <v>903</v>
      </c>
      <c r="D891" t="s">
        <v>10</v>
      </c>
      <c r="E891" s="2">
        <v>34</v>
      </c>
      <c r="F891" t="s">
        <v>16</v>
      </c>
      <c r="G891" s="2">
        <v>2</v>
      </c>
      <c r="H891" s="15">
        <v>25</v>
      </c>
      <c r="I891" s="14">
        <v>50</v>
      </c>
    </row>
    <row r="892" spans="1:9" x14ac:dyDescent="0.25">
      <c r="A892">
        <v>891</v>
      </c>
      <c r="B892" s="1" t="d">
        <v>2023-04-05</v>
      </c>
      <c r="C892" t="s">
        <v>904</v>
      </c>
      <c r="D892" t="s">
        <v>10</v>
      </c>
      <c r="E892" s="2">
        <v>41</v>
      </c>
      <c r="F892" t="s">
        <v>16</v>
      </c>
      <c r="G892" s="2">
        <v>3</v>
      </c>
      <c r="H892" s="15">
        <v>300</v>
      </c>
      <c r="I892" s="14">
        <v>900</v>
      </c>
    </row>
    <row r="893" spans="1:9" x14ac:dyDescent="0.25">
      <c r="A893">
        <v>892</v>
      </c>
      <c r="B893" s="1" t="d">
        <v>2023-04-09</v>
      </c>
      <c r="C893" t="s">
        <v>905</v>
      </c>
      <c r="D893" t="s">
        <v>10</v>
      </c>
      <c r="E893" s="2">
        <v>20</v>
      </c>
      <c r="F893" t="s">
        <v>16</v>
      </c>
      <c r="G893" s="2">
        <v>1</v>
      </c>
      <c r="H893" s="15">
        <v>50</v>
      </c>
      <c r="I893" s="14">
        <v>50</v>
      </c>
    </row>
    <row r="894" spans="1:9" x14ac:dyDescent="0.25">
      <c r="A894">
        <v>893</v>
      </c>
      <c r="B894" s="1" t="d">
        <v>2023-04-21</v>
      </c>
      <c r="C894" t="s">
        <v>906</v>
      </c>
      <c r="D894" t="s">
        <v>10</v>
      </c>
      <c r="E894" s="2">
        <v>49</v>
      </c>
      <c r="F894" t="s">
        <v>16</v>
      </c>
      <c r="G894" s="2">
        <v>1</v>
      </c>
      <c r="H894" s="15">
        <v>50</v>
      </c>
      <c r="I894" s="14">
        <v>50</v>
      </c>
    </row>
    <row r="895" spans="1:9" x14ac:dyDescent="0.25">
      <c r="A895">
        <v>894</v>
      </c>
      <c r="B895" s="1" t="d">
        <v>2023-09-05</v>
      </c>
      <c r="C895" t="s">
        <v>907</v>
      </c>
      <c r="D895" t="s">
        <v>10</v>
      </c>
      <c r="E895" s="2">
        <v>52</v>
      </c>
      <c r="F895" t="s">
        <v>16</v>
      </c>
      <c r="G895" s="2">
        <v>1</v>
      </c>
      <c r="H895" s="15">
        <v>30</v>
      </c>
      <c r="I895" s="14">
        <v>30</v>
      </c>
    </row>
    <row r="896" spans="1:9" x14ac:dyDescent="0.25">
      <c r="A896">
        <v>895</v>
      </c>
      <c r="B896" s="1" t="d">
        <v>2023-05-22</v>
      </c>
      <c r="C896" t="s">
        <v>908</v>
      </c>
      <c r="D896" t="s">
        <v>13</v>
      </c>
      <c r="E896" s="2">
        <v>55</v>
      </c>
      <c r="F896" t="s">
        <v>14</v>
      </c>
      <c r="G896" s="2">
        <v>4</v>
      </c>
      <c r="H896" s="15">
        <v>30</v>
      </c>
      <c r="I896" s="14">
        <v>120</v>
      </c>
    </row>
    <row r="897" spans="1:9" x14ac:dyDescent="0.25">
      <c r="A897">
        <v>896</v>
      </c>
      <c r="B897" s="1" t="d">
        <v>2023-10-29</v>
      </c>
      <c r="C897" t="s">
        <v>909</v>
      </c>
      <c r="D897" t="s">
        <v>13</v>
      </c>
      <c r="E897" s="2">
        <v>30</v>
      </c>
      <c r="F897" t="s">
        <v>16</v>
      </c>
      <c r="G897" s="2">
        <v>2</v>
      </c>
      <c r="H897" s="15">
        <v>25</v>
      </c>
      <c r="I897" s="14">
        <v>50</v>
      </c>
    </row>
    <row r="898" spans="1:9" x14ac:dyDescent="0.25">
      <c r="A898">
        <v>897</v>
      </c>
      <c r="B898" s="1" t="d">
        <v>2023-09-26</v>
      </c>
      <c r="C898" t="s">
        <v>910</v>
      </c>
      <c r="D898" t="s">
        <v>13</v>
      </c>
      <c r="E898" s="2">
        <v>64</v>
      </c>
      <c r="F898" t="s">
        <v>16</v>
      </c>
      <c r="G898" s="2">
        <v>2</v>
      </c>
      <c r="H898" s="15">
        <v>50</v>
      </c>
      <c r="I898" s="14">
        <v>100</v>
      </c>
    </row>
    <row r="899" spans="1:9" x14ac:dyDescent="0.25">
      <c r="A899">
        <v>898</v>
      </c>
      <c r="B899" s="1" t="d">
        <v>2023-11-02</v>
      </c>
      <c r="C899" t="s">
        <v>911</v>
      </c>
      <c r="D899" t="s">
        <v>13</v>
      </c>
      <c r="E899" s="2">
        <v>42</v>
      </c>
      <c r="F899" t="s">
        <v>14</v>
      </c>
      <c r="G899" s="2">
        <v>3</v>
      </c>
      <c r="H899" s="15">
        <v>30</v>
      </c>
      <c r="I899" s="14">
        <v>90</v>
      </c>
    </row>
    <row r="900" spans="1:9" x14ac:dyDescent="0.25">
      <c r="A900">
        <v>899</v>
      </c>
      <c r="B900" s="1" t="d">
        <v>2023-05-25</v>
      </c>
      <c r="C900" t="s">
        <v>912</v>
      </c>
      <c r="D900" t="s">
        <v>10</v>
      </c>
      <c r="E900" s="2">
        <v>26</v>
      </c>
      <c r="F900" t="s">
        <v>14</v>
      </c>
      <c r="G900" s="2">
        <v>2</v>
      </c>
      <c r="H900" s="15">
        <v>300</v>
      </c>
      <c r="I900" s="14">
        <v>600</v>
      </c>
    </row>
    <row r="901" spans="1:9" x14ac:dyDescent="0.25">
      <c r="A901">
        <v>900</v>
      </c>
      <c r="B901" s="1" t="d">
        <v>2023-02-21</v>
      </c>
      <c r="C901" t="s">
        <v>913</v>
      </c>
      <c r="D901" t="s">
        <v>10</v>
      </c>
      <c r="E901" s="2">
        <v>21</v>
      </c>
      <c r="F901" t="s">
        <v>14</v>
      </c>
      <c r="G901" s="2">
        <v>2</v>
      </c>
      <c r="H901" s="15">
        <v>30</v>
      </c>
      <c r="I901" s="14">
        <v>60</v>
      </c>
    </row>
    <row r="902" spans="1:9" x14ac:dyDescent="0.25">
      <c r="A902">
        <v>901</v>
      </c>
      <c r="B902" s="1" t="d">
        <v>2023-04-10</v>
      </c>
      <c r="C902" t="s">
        <v>914</v>
      </c>
      <c r="D902" t="s">
        <v>10</v>
      </c>
      <c r="E902" s="2">
        <v>31</v>
      </c>
      <c r="F902" t="s">
        <v>16</v>
      </c>
      <c r="G902" s="2">
        <v>1</v>
      </c>
      <c r="H902" s="15">
        <v>30</v>
      </c>
      <c r="I902" s="14">
        <v>30</v>
      </c>
    </row>
    <row r="903" spans="1:9" x14ac:dyDescent="0.25">
      <c r="A903">
        <v>902</v>
      </c>
      <c r="B903" s="1" t="d">
        <v>2023-06-01</v>
      </c>
      <c r="C903" t="s">
        <v>915</v>
      </c>
      <c r="D903" t="s">
        <v>13</v>
      </c>
      <c r="E903" s="2">
        <v>54</v>
      </c>
      <c r="F903" t="s">
        <v>11</v>
      </c>
      <c r="G903" s="2">
        <v>1</v>
      </c>
      <c r="H903" s="15">
        <v>50</v>
      </c>
      <c r="I903" s="14">
        <v>50</v>
      </c>
    </row>
    <row r="904" spans="1:9" x14ac:dyDescent="0.25">
      <c r="A904">
        <v>903</v>
      </c>
      <c r="B904" s="1" t="d">
        <v>2023-04-27</v>
      </c>
      <c r="C904" t="s">
        <v>916</v>
      </c>
      <c r="D904" t="s">
        <v>13</v>
      </c>
      <c r="E904" s="2">
        <v>51</v>
      </c>
      <c r="F904" t="s">
        <v>11</v>
      </c>
      <c r="G904" s="2">
        <v>4</v>
      </c>
      <c r="H904" s="15">
        <v>50</v>
      </c>
      <c r="I904" s="14">
        <v>200</v>
      </c>
    </row>
    <row r="905" spans="1:9" x14ac:dyDescent="0.25">
      <c r="A905">
        <v>904</v>
      </c>
      <c r="B905" s="1" t="d">
        <v>2023-07-04</v>
      </c>
      <c r="C905" t="s">
        <v>917</v>
      </c>
      <c r="D905" t="s">
        <v>10</v>
      </c>
      <c r="E905" s="2">
        <v>28</v>
      </c>
      <c r="F905" t="s">
        <v>14</v>
      </c>
      <c r="G905" s="2">
        <v>1</v>
      </c>
      <c r="H905" s="15">
        <v>500</v>
      </c>
      <c r="I905" s="14">
        <v>500</v>
      </c>
    </row>
    <row r="906" spans="1:9" x14ac:dyDescent="0.25">
      <c r="A906">
        <v>905</v>
      </c>
      <c r="B906" s="1" t="d">
        <v>2023-04-02</v>
      </c>
      <c r="C906" t="s">
        <v>918</v>
      </c>
      <c r="D906" t="s">
        <v>10</v>
      </c>
      <c r="E906" s="2">
        <v>58</v>
      </c>
      <c r="F906" t="s">
        <v>11</v>
      </c>
      <c r="G906" s="2">
        <v>1</v>
      </c>
      <c r="H906" s="15">
        <v>300</v>
      </c>
      <c r="I906" s="14">
        <v>300</v>
      </c>
    </row>
    <row r="907" spans="1:9" x14ac:dyDescent="0.25">
      <c r="A907">
        <v>906</v>
      </c>
      <c r="B907" s="1" t="d">
        <v>2023-06-04</v>
      </c>
      <c r="C907" t="s">
        <v>919</v>
      </c>
      <c r="D907" t="s">
        <v>13</v>
      </c>
      <c r="E907" s="2">
        <v>20</v>
      </c>
      <c r="F907" t="s">
        <v>14</v>
      </c>
      <c r="G907" s="2">
        <v>1</v>
      </c>
      <c r="H907" s="15">
        <v>50</v>
      </c>
      <c r="I907" s="14">
        <v>50</v>
      </c>
    </row>
    <row r="908" spans="1:9" x14ac:dyDescent="0.25">
      <c r="A908">
        <v>907</v>
      </c>
      <c r="B908" s="1" t="d">
        <v>2023-01-08</v>
      </c>
      <c r="C908" t="s">
        <v>920</v>
      </c>
      <c r="D908" t="s">
        <v>13</v>
      </c>
      <c r="E908" s="2">
        <v>45</v>
      </c>
      <c r="F908" t="s">
        <v>16</v>
      </c>
      <c r="G908" s="2">
        <v>1</v>
      </c>
      <c r="H908" s="15">
        <v>25</v>
      </c>
      <c r="I908" s="14">
        <v>25</v>
      </c>
    </row>
    <row r="909" spans="1:9" x14ac:dyDescent="0.25">
      <c r="A909">
        <v>908</v>
      </c>
      <c r="B909" s="1" t="d">
        <v>2023-12-29</v>
      </c>
      <c r="C909" t="s">
        <v>921</v>
      </c>
      <c r="D909" t="s">
        <v>10</v>
      </c>
      <c r="E909" s="2">
        <v>46</v>
      </c>
      <c r="F909" t="s">
        <v>11</v>
      </c>
      <c r="G909" s="2">
        <v>4</v>
      </c>
      <c r="H909" s="15">
        <v>300</v>
      </c>
      <c r="I909" s="14">
        <v>1200</v>
      </c>
    </row>
    <row r="910" spans="1:9" x14ac:dyDescent="0.25">
      <c r="A910">
        <v>909</v>
      </c>
      <c r="B910" s="1" t="d">
        <v>2023-10-01</v>
      </c>
      <c r="C910" t="s">
        <v>922</v>
      </c>
      <c r="D910" t="s">
        <v>10</v>
      </c>
      <c r="E910" s="2">
        <v>26</v>
      </c>
      <c r="F910" t="s">
        <v>16</v>
      </c>
      <c r="G910" s="2">
        <v>1</v>
      </c>
      <c r="H910" s="15">
        <v>300</v>
      </c>
      <c r="I910" s="14">
        <v>300</v>
      </c>
    </row>
    <row r="911" spans="1:9" x14ac:dyDescent="0.25">
      <c r="A911">
        <v>910</v>
      </c>
      <c r="B911" s="1" t="d">
        <v>2023-03-06</v>
      </c>
      <c r="C911" t="s">
        <v>923</v>
      </c>
      <c r="D911" t="s">
        <v>13</v>
      </c>
      <c r="E911" s="2">
        <v>20</v>
      </c>
      <c r="F911" t="s">
        <v>11</v>
      </c>
      <c r="G911" s="2">
        <v>3</v>
      </c>
      <c r="H911" s="15">
        <v>50</v>
      </c>
      <c r="I911" s="14">
        <v>150</v>
      </c>
    </row>
    <row r="912" spans="1:9" x14ac:dyDescent="0.25">
      <c r="A912">
        <v>911</v>
      </c>
      <c r="B912" s="1" t="d">
        <v>2023-05-21</v>
      </c>
      <c r="C912" t="s">
        <v>924</v>
      </c>
      <c r="D912" t="s">
        <v>10</v>
      </c>
      <c r="E912" s="2">
        <v>42</v>
      </c>
      <c r="F912" t="s">
        <v>16</v>
      </c>
      <c r="G912" s="2">
        <v>3</v>
      </c>
      <c r="H912" s="15">
        <v>300</v>
      </c>
      <c r="I912" s="14">
        <v>900</v>
      </c>
    </row>
    <row r="913" spans="1:9" x14ac:dyDescent="0.25">
      <c r="A913">
        <v>912</v>
      </c>
      <c r="B913" s="1" t="d">
        <v>2023-01-24</v>
      </c>
      <c r="C913" t="s">
        <v>925</v>
      </c>
      <c r="D913" t="s">
        <v>10</v>
      </c>
      <c r="E913" s="2">
        <v>51</v>
      </c>
      <c r="F913" t="s">
        <v>11</v>
      </c>
      <c r="G913" s="2">
        <v>3</v>
      </c>
      <c r="H913" s="15">
        <v>50</v>
      </c>
      <c r="I913" s="14">
        <v>150</v>
      </c>
    </row>
    <row r="914" spans="1:9" x14ac:dyDescent="0.25">
      <c r="A914">
        <v>913</v>
      </c>
      <c r="B914" s="1" t="d">
        <v>2023-01-28</v>
      </c>
      <c r="C914" t="s">
        <v>926</v>
      </c>
      <c r="D914" t="s">
        <v>10</v>
      </c>
      <c r="E914" s="2">
        <v>29</v>
      </c>
      <c r="F914" t="s">
        <v>16</v>
      </c>
      <c r="G914" s="2">
        <v>3</v>
      </c>
      <c r="H914" s="15">
        <v>30</v>
      </c>
      <c r="I914" s="14">
        <v>90</v>
      </c>
    </row>
    <row r="915" spans="1:9" x14ac:dyDescent="0.25">
      <c r="A915">
        <v>914</v>
      </c>
      <c r="B915" s="1" t="d">
        <v>2023-10-11</v>
      </c>
      <c r="C915" t="s">
        <v>927</v>
      </c>
      <c r="D915" t="s">
        <v>13</v>
      </c>
      <c r="E915" s="2">
        <v>59</v>
      </c>
      <c r="F915" t="s">
        <v>16</v>
      </c>
      <c r="G915" s="2">
        <v>1</v>
      </c>
      <c r="H915" s="15">
        <v>500</v>
      </c>
      <c r="I915" s="14">
        <v>500</v>
      </c>
    </row>
    <row r="916" spans="1:9" x14ac:dyDescent="0.25">
      <c r="A916">
        <v>915</v>
      </c>
      <c r="B916" s="1" t="d">
        <v>2023-05-30</v>
      </c>
      <c r="C916" t="s">
        <v>928</v>
      </c>
      <c r="D916" t="s">
        <v>13</v>
      </c>
      <c r="E916" s="2">
        <v>26</v>
      </c>
      <c r="F916" t="s">
        <v>11</v>
      </c>
      <c r="G916" s="2">
        <v>3</v>
      </c>
      <c r="H916" s="15">
        <v>30</v>
      </c>
      <c r="I916" s="14">
        <v>90</v>
      </c>
    </row>
    <row r="917" spans="1:9" x14ac:dyDescent="0.25">
      <c r="A917">
        <v>916</v>
      </c>
      <c r="B917" s="1" t="d">
        <v>2023-12-24</v>
      </c>
      <c r="C917" t="s">
        <v>929</v>
      </c>
      <c r="D917" t="s">
        <v>13</v>
      </c>
      <c r="E917" s="2">
        <v>32</v>
      </c>
      <c r="F917" t="s">
        <v>16</v>
      </c>
      <c r="G917" s="2">
        <v>1</v>
      </c>
      <c r="H917" s="15">
        <v>50</v>
      </c>
      <c r="I917" s="14">
        <v>50</v>
      </c>
    </row>
    <row r="918" spans="1:9" x14ac:dyDescent="0.25">
      <c r="A918">
        <v>917</v>
      </c>
      <c r="B918" s="1" t="d">
        <v>2023-03-06</v>
      </c>
      <c r="C918" t="s">
        <v>930</v>
      </c>
      <c r="D918" t="s">
        <v>13</v>
      </c>
      <c r="E918" s="2">
        <v>57</v>
      </c>
      <c r="F918" t="s">
        <v>16</v>
      </c>
      <c r="G918" s="2">
        <v>4</v>
      </c>
      <c r="H918" s="15">
        <v>50</v>
      </c>
      <c r="I918" s="14">
        <v>200</v>
      </c>
    </row>
    <row r="919" spans="1:9" x14ac:dyDescent="0.25">
      <c r="A919">
        <v>918</v>
      </c>
      <c r="B919" s="1" t="d">
        <v>2023-11-23</v>
      </c>
      <c r="C919" t="s">
        <v>931</v>
      </c>
      <c r="D919" t="s">
        <v>13</v>
      </c>
      <c r="E919" s="2">
        <v>42</v>
      </c>
      <c r="F919" t="s">
        <v>16</v>
      </c>
      <c r="G919" s="2">
        <v>3</v>
      </c>
      <c r="H919" s="15">
        <v>30</v>
      </c>
      <c r="I919" s="14">
        <v>90</v>
      </c>
    </row>
    <row r="920" spans="1:9" x14ac:dyDescent="0.25">
      <c r="A920">
        <v>919</v>
      </c>
      <c r="B920" s="1" t="d">
        <v>2023-09-09</v>
      </c>
      <c r="C920" t="s">
        <v>932</v>
      </c>
      <c r="D920" t="s">
        <v>13</v>
      </c>
      <c r="E920" s="2">
        <v>22</v>
      </c>
      <c r="F920" t="s">
        <v>11</v>
      </c>
      <c r="G920" s="2">
        <v>2</v>
      </c>
      <c r="H920" s="15">
        <v>25</v>
      </c>
      <c r="I920" s="14">
        <v>50</v>
      </c>
    </row>
    <row r="921" spans="1:9" x14ac:dyDescent="0.25">
      <c r="A921">
        <v>920</v>
      </c>
      <c r="B921" s="1" t="d">
        <v>2023-02-22</v>
      </c>
      <c r="C921" t="s">
        <v>933</v>
      </c>
      <c r="D921" t="s">
        <v>13</v>
      </c>
      <c r="E921" s="2">
        <v>28</v>
      </c>
      <c r="F921" t="s">
        <v>11</v>
      </c>
      <c r="G921" s="2">
        <v>3</v>
      </c>
      <c r="H921" s="15">
        <v>25</v>
      </c>
      <c r="I921" s="14">
        <v>75</v>
      </c>
    </row>
    <row r="922" spans="1:9" x14ac:dyDescent="0.25">
      <c r="A922">
        <v>921</v>
      </c>
      <c r="B922" s="1" t="d">
        <v>2023-01-07</v>
      </c>
      <c r="C922" t="s">
        <v>934</v>
      </c>
      <c r="D922" t="s">
        <v>10</v>
      </c>
      <c r="E922" s="2">
        <v>51</v>
      </c>
      <c r="F922" t="s">
        <v>16</v>
      </c>
      <c r="G922" s="2">
        <v>3</v>
      </c>
      <c r="H922" s="15">
        <v>25</v>
      </c>
      <c r="I922" s="14">
        <v>75</v>
      </c>
    </row>
    <row r="923" spans="1:9" x14ac:dyDescent="0.25">
      <c r="A923">
        <v>922</v>
      </c>
      <c r="B923" s="1" t="d">
        <v>2023-10-21</v>
      </c>
      <c r="C923" t="s">
        <v>935</v>
      </c>
      <c r="D923" t="s">
        <v>10</v>
      </c>
      <c r="E923" s="2">
        <v>41</v>
      </c>
      <c r="F923" t="s">
        <v>16</v>
      </c>
      <c r="G923" s="2">
        <v>1</v>
      </c>
      <c r="H923" s="15">
        <v>50</v>
      </c>
      <c r="I923" s="14">
        <v>50</v>
      </c>
    </row>
    <row r="924" spans="1:9" x14ac:dyDescent="0.25">
      <c r="A924">
        <v>923</v>
      </c>
      <c r="B924" s="1" t="d">
        <v>2023-05-26</v>
      </c>
      <c r="C924" t="s">
        <v>936</v>
      </c>
      <c r="D924" t="s">
        <v>10</v>
      </c>
      <c r="E924" s="2">
        <v>32</v>
      </c>
      <c r="F924" t="s">
        <v>11</v>
      </c>
      <c r="G924" s="2">
        <v>3</v>
      </c>
      <c r="H924" s="15">
        <v>300</v>
      </c>
      <c r="I924" s="14">
        <v>900</v>
      </c>
    </row>
    <row r="925" spans="1:9" x14ac:dyDescent="0.25">
      <c r="A925">
        <v>924</v>
      </c>
      <c r="B925" s="1" t="d">
        <v>2023-08-29</v>
      </c>
      <c r="C925" t="s">
        <v>937</v>
      </c>
      <c r="D925" t="s">
        <v>10</v>
      </c>
      <c r="E925" s="2">
        <v>55</v>
      </c>
      <c r="F925" t="s">
        <v>11</v>
      </c>
      <c r="G925" s="2">
        <v>2</v>
      </c>
      <c r="H925" s="15">
        <v>50</v>
      </c>
      <c r="I925" s="14">
        <v>100</v>
      </c>
    </row>
    <row r="926" spans="1:9" x14ac:dyDescent="0.25">
      <c r="A926">
        <v>925</v>
      </c>
      <c r="B926" s="1" t="d">
        <v>2023-09-03</v>
      </c>
      <c r="C926" t="s">
        <v>938</v>
      </c>
      <c r="D926" t="s">
        <v>10</v>
      </c>
      <c r="E926" s="2">
        <v>25</v>
      </c>
      <c r="F926" t="s">
        <v>16</v>
      </c>
      <c r="G926" s="2">
        <v>1</v>
      </c>
      <c r="H926" s="15">
        <v>300</v>
      </c>
      <c r="I926" s="14">
        <v>300</v>
      </c>
    </row>
    <row r="927" spans="1:9" x14ac:dyDescent="0.25">
      <c r="A927">
        <v>926</v>
      </c>
      <c r="B927" s="1" t="d">
        <v>2023-08-14</v>
      </c>
      <c r="C927" t="s">
        <v>939</v>
      </c>
      <c r="D927" t="s">
        <v>10</v>
      </c>
      <c r="E927" s="2">
        <v>22</v>
      </c>
      <c r="F927" t="s">
        <v>16</v>
      </c>
      <c r="G927" s="2">
        <v>1</v>
      </c>
      <c r="H927" s="15">
        <v>30</v>
      </c>
      <c r="I927" s="14">
        <v>30</v>
      </c>
    </row>
    <row r="928" spans="1:9" x14ac:dyDescent="0.25">
      <c r="A928">
        <v>927</v>
      </c>
      <c r="B928" s="1" t="d">
        <v>2023-06-24</v>
      </c>
      <c r="C928" t="s">
        <v>940</v>
      </c>
      <c r="D928" t="s">
        <v>10</v>
      </c>
      <c r="E928" s="2">
        <v>43</v>
      </c>
      <c r="F928" t="s">
        <v>16</v>
      </c>
      <c r="G928" s="2">
        <v>4</v>
      </c>
      <c r="H928" s="15">
        <v>500</v>
      </c>
      <c r="I928" s="14">
        <v>2000</v>
      </c>
    </row>
    <row r="929" spans="1:9" x14ac:dyDescent="0.25">
      <c r="A929">
        <v>928</v>
      </c>
      <c r="B929" s="1" t="d">
        <v>2023-04-05</v>
      </c>
      <c r="C929" t="s">
        <v>941</v>
      </c>
      <c r="D929" t="s">
        <v>13</v>
      </c>
      <c r="E929" s="2">
        <v>35</v>
      </c>
      <c r="F929" t="s">
        <v>14</v>
      </c>
      <c r="G929" s="2">
        <v>4</v>
      </c>
      <c r="H929" s="15">
        <v>300</v>
      </c>
      <c r="I929" s="14">
        <v>1200</v>
      </c>
    </row>
    <row r="930" spans="1:9" x14ac:dyDescent="0.25">
      <c r="A930">
        <v>929</v>
      </c>
      <c r="B930" s="1" t="d">
        <v>2023-01-27</v>
      </c>
      <c r="C930" t="s">
        <v>942</v>
      </c>
      <c r="D930" t="s">
        <v>13</v>
      </c>
      <c r="E930" s="2">
        <v>23</v>
      </c>
      <c r="F930" t="s">
        <v>11</v>
      </c>
      <c r="G930" s="2">
        <v>3</v>
      </c>
      <c r="H930" s="15">
        <v>25</v>
      </c>
      <c r="I930" s="14">
        <v>75</v>
      </c>
    </row>
    <row r="931" spans="1:9" x14ac:dyDescent="0.25">
      <c r="A931">
        <v>930</v>
      </c>
      <c r="B931" s="1" t="d">
        <v>2023-05-10</v>
      </c>
      <c r="C931" t="s">
        <v>943</v>
      </c>
      <c r="D931" t="s">
        <v>10</v>
      </c>
      <c r="E931" s="2">
        <v>54</v>
      </c>
      <c r="F931" t="s">
        <v>14</v>
      </c>
      <c r="G931" s="2">
        <v>4</v>
      </c>
      <c r="H931" s="15">
        <v>50</v>
      </c>
      <c r="I931" s="14">
        <v>200</v>
      </c>
    </row>
    <row r="932" spans="1:9" x14ac:dyDescent="0.25">
      <c r="A932">
        <v>931</v>
      </c>
      <c r="B932" s="1" t="d">
        <v>2023-09-02</v>
      </c>
      <c r="C932" t="s">
        <v>944</v>
      </c>
      <c r="D932" t="s">
        <v>10</v>
      </c>
      <c r="E932" s="2">
        <v>30</v>
      </c>
      <c r="F932" t="s">
        <v>11</v>
      </c>
      <c r="G932" s="2">
        <v>4</v>
      </c>
      <c r="H932" s="15">
        <v>30</v>
      </c>
      <c r="I932" s="14">
        <v>120</v>
      </c>
    </row>
    <row r="933" spans="1:9" x14ac:dyDescent="0.25">
      <c r="A933">
        <v>932</v>
      </c>
      <c r="B933" s="1" t="d">
        <v>2023-02-28</v>
      </c>
      <c r="C933" t="s">
        <v>945</v>
      </c>
      <c r="D933" t="s">
        <v>13</v>
      </c>
      <c r="E933" s="2">
        <v>45</v>
      </c>
      <c r="F933" t="s">
        <v>11</v>
      </c>
      <c r="G933" s="2">
        <v>4</v>
      </c>
      <c r="H933" s="15">
        <v>25</v>
      </c>
      <c r="I933" s="14">
        <v>100</v>
      </c>
    </row>
    <row r="934" spans="1:9" x14ac:dyDescent="0.25">
      <c r="A934">
        <v>933</v>
      </c>
      <c r="B934" s="1" t="d">
        <v>2023-02-03</v>
      </c>
      <c r="C934" t="s">
        <v>946</v>
      </c>
      <c r="D934" t="s">
        <v>10</v>
      </c>
      <c r="E934" s="2">
        <v>22</v>
      </c>
      <c r="F934" t="s">
        <v>11</v>
      </c>
      <c r="G934" s="2">
        <v>1</v>
      </c>
      <c r="H934" s="15">
        <v>30</v>
      </c>
      <c r="I934" s="14">
        <v>30</v>
      </c>
    </row>
    <row r="935" spans="1:9" x14ac:dyDescent="0.25">
      <c r="A935">
        <v>934</v>
      </c>
      <c r="B935" s="1" t="d">
        <v>2023-07-25</v>
      </c>
      <c r="C935" t="s">
        <v>947</v>
      </c>
      <c r="D935" t="s">
        <v>10</v>
      </c>
      <c r="E935" s="2">
        <v>30</v>
      </c>
      <c r="F935" t="s">
        <v>11</v>
      </c>
      <c r="G935" s="2">
        <v>1</v>
      </c>
      <c r="H935" s="15">
        <v>500</v>
      </c>
      <c r="I935" s="14">
        <v>500</v>
      </c>
    </row>
    <row r="936" spans="1:9" x14ac:dyDescent="0.25">
      <c r="A936">
        <v>935</v>
      </c>
      <c r="B936" s="1" t="d">
        <v>2023-09-09</v>
      </c>
      <c r="C936" t="s">
        <v>948</v>
      </c>
      <c r="D936" t="s">
        <v>13</v>
      </c>
      <c r="E936" s="2">
        <v>34</v>
      </c>
      <c r="F936" t="s">
        <v>11</v>
      </c>
      <c r="G936" s="2">
        <v>1</v>
      </c>
      <c r="H936" s="15">
        <v>50</v>
      </c>
      <c r="I936" s="14">
        <v>50</v>
      </c>
    </row>
    <row r="937" spans="1:9" x14ac:dyDescent="0.25">
      <c r="A937">
        <v>936</v>
      </c>
      <c r="B937" s="1" t="d">
        <v>2023-02-07</v>
      </c>
      <c r="C937" t="s">
        <v>949</v>
      </c>
      <c r="D937" t="s">
        <v>10</v>
      </c>
      <c r="E937" s="2">
        <v>57</v>
      </c>
      <c r="F937" t="s">
        <v>11</v>
      </c>
      <c r="G937" s="2">
        <v>4</v>
      </c>
      <c r="H937" s="15">
        <v>50</v>
      </c>
      <c r="I937" s="14">
        <v>200</v>
      </c>
    </row>
    <row r="938" spans="1:9" x14ac:dyDescent="0.25">
      <c r="A938">
        <v>937</v>
      </c>
      <c r="B938" s="1" t="d">
        <v>2023-10-23</v>
      </c>
      <c r="C938" t="s">
        <v>950</v>
      </c>
      <c r="D938" t="s">
        <v>13</v>
      </c>
      <c r="E938" s="2">
        <v>62</v>
      </c>
      <c r="F938" t="s">
        <v>11</v>
      </c>
      <c r="G938" s="2">
        <v>1</v>
      </c>
      <c r="H938" s="15">
        <v>500</v>
      </c>
      <c r="I938" s="14">
        <v>500</v>
      </c>
    </row>
    <row r="939" spans="1:9" x14ac:dyDescent="0.25">
      <c r="A939">
        <v>938</v>
      </c>
      <c r="B939" s="1" t="d">
        <v>2023-11-19</v>
      </c>
      <c r="C939" t="s">
        <v>951</v>
      </c>
      <c r="D939" t="s">
        <v>10</v>
      </c>
      <c r="E939" s="2">
        <v>49</v>
      </c>
      <c r="F939" t="s">
        <v>14</v>
      </c>
      <c r="G939" s="2">
        <v>4</v>
      </c>
      <c r="H939" s="15">
        <v>50</v>
      </c>
      <c r="I939" s="14">
        <v>200</v>
      </c>
    </row>
    <row r="940" spans="1:9" x14ac:dyDescent="0.25">
      <c r="A940">
        <v>939</v>
      </c>
      <c r="B940" s="1" t="d">
        <v>2023-12-18</v>
      </c>
      <c r="C940" t="s">
        <v>952</v>
      </c>
      <c r="D940" t="s">
        <v>13</v>
      </c>
      <c r="E940" s="2">
        <v>46</v>
      </c>
      <c r="F940" t="s">
        <v>16</v>
      </c>
      <c r="G940" s="2">
        <v>1</v>
      </c>
      <c r="H940" s="15">
        <v>300</v>
      </c>
      <c r="I940" s="14">
        <v>300</v>
      </c>
    </row>
    <row r="941" spans="1:9" x14ac:dyDescent="0.25">
      <c r="A941">
        <v>940</v>
      </c>
      <c r="B941" s="1" t="d">
        <v>2023-01-28</v>
      </c>
      <c r="C941" t="s">
        <v>953</v>
      </c>
      <c r="D941" t="s">
        <v>13</v>
      </c>
      <c r="E941" s="2">
        <v>20</v>
      </c>
      <c r="F941" t="s">
        <v>16</v>
      </c>
      <c r="G941" s="2">
        <v>1</v>
      </c>
      <c r="H941" s="15">
        <v>30</v>
      </c>
      <c r="I941" s="14">
        <v>30</v>
      </c>
    </row>
    <row r="942" spans="1:9" x14ac:dyDescent="0.25">
      <c r="A942">
        <v>941</v>
      </c>
      <c r="B942" s="1" t="d">
        <v>2023-03-19</v>
      </c>
      <c r="C942" t="s">
        <v>954</v>
      </c>
      <c r="D942" t="s">
        <v>13</v>
      </c>
      <c r="E942" s="2">
        <v>57</v>
      </c>
      <c r="F942" t="s">
        <v>14</v>
      </c>
      <c r="G942" s="2">
        <v>2</v>
      </c>
      <c r="H942" s="15">
        <v>25</v>
      </c>
      <c r="I942" s="14">
        <v>50</v>
      </c>
    </row>
    <row r="943" spans="1:9" x14ac:dyDescent="0.25">
      <c r="A943">
        <v>942</v>
      </c>
      <c r="B943" s="1" t="d">
        <v>2023-03-18</v>
      </c>
      <c r="C943" t="s">
        <v>955</v>
      </c>
      <c r="D943" t="s">
        <v>10</v>
      </c>
      <c r="E943" s="2">
        <v>51</v>
      </c>
      <c r="F943" t="s">
        <v>14</v>
      </c>
      <c r="G943" s="2">
        <v>3</v>
      </c>
      <c r="H943" s="15">
        <v>500</v>
      </c>
      <c r="I943" s="14">
        <v>1500</v>
      </c>
    </row>
    <row r="944" spans="1:9" x14ac:dyDescent="0.25">
      <c r="A944">
        <v>943</v>
      </c>
      <c r="B944" s="1" t="d">
        <v>2023-10-16</v>
      </c>
      <c r="C944" t="s">
        <v>956</v>
      </c>
      <c r="D944" t="s">
        <v>13</v>
      </c>
      <c r="E944" s="2">
        <v>57</v>
      </c>
      <c r="F944" t="s">
        <v>14</v>
      </c>
      <c r="G944" s="2">
        <v>4</v>
      </c>
      <c r="H944" s="15">
        <v>300</v>
      </c>
      <c r="I944" s="14">
        <v>1200</v>
      </c>
    </row>
    <row r="945" spans="1:9" x14ac:dyDescent="0.25">
      <c r="A945">
        <v>944</v>
      </c>
      <c r="B945" s="1" t="d">
        <v>2023-06-05</v>
      </c>
      <c r="C945" t="s">
        <v>957</v>
      </c>
      <c r="D945" t="s">
        <v>10</v>
      </c>
      <c r="E945" s="2">
        <v>44</v>
      </c>
      <c r="F945" t="s">
        <v>14</v>
      </c>
      <c r="G945" s="2">
        <v>2</v>
      </c>
      <c r="H945" s="15">
        <v>25</v>
      </c>
      <c r="I945" s="14">
        <v>50</v>
      </c>
    </row>
    <row r="946" spans="1:9" x14ac:dyDescent="0.25">
      <c r="A946">
        <v>945</v>
      </c>
      <c r="B946" s="1" t="d">
        <v>2023-02-13</v>
      </c>
      <c r="C946" t="s">
        <v>958</v>
      </c>
      <c r="D946" t="s">
        <v>10</v>
      </c>
      <c r="E946" s="2">
        <v>30</v>
      </c>
      <c r="F946" t="s">
        <v>11</v>
      </c>
      <c r="G946" s="2">
        <v>1</v>
      </c>
      <c r="H946" s="15">
        <v>25</v>
      </c>
      <c r="I946" s="14">
        <v>25</v>
      </c>
    </row>
    <row r="947" spans="1:9" x14ac:dyDescent="0.25">
      <c r="A947">
        <v>946</v>
      </c>
      <c r="B947" s="1" t="d">
        <v>2023-05-08</v>
      </c>
      <c r="C947" t="s">
        <v>959</v>
      </c>
      <c r="D947" t="s">
        <v>10</v>
      </c>
      <c r="E947" s="2">
        <v>62</v>
      </c>
      <c r="F947" t="s">
        <v>16</v>
      </c>
      <c r="G947" s="2">
        <v>4</v>
      </c>
      <c r="H947" s="15">
        <v>500</v>
      </c>
      <c r="I947" s="14">
        <v>2000</v>
      </c>
    </row>
    <row r="948" spans="1:9" x14ac:dyDescent="0.25">
      <c r="A948">
        <v>947</v>
      </c>
      <c r="B948" s="1" t="d">
        <v>2023-03-02</v>
      </c>
      <c r="C948" t="s">
        <v>960</v>
      </c>
      <c r="D948" t="s">
        <v>10</v>
      </c>
      <c r="E948" s="2">
        <v>50</v>
      </c>
      <c r="F948" t="s">
        <v>11</v>
      </c>
      <c r="G948" s="2">
        <v>1</v>
      </c>
      <c r="H948" s="15">
        <v>300</v>
      </c>
      <c r="I948" s="14">
        <v>300</v>
      </c>
    </row>
    <row r="949" spans="1:9" x14ac:dyDescent="0.25">
      <c r="A949">
        <v>948</v>
      </c>
      <c r="B949" s="1" t="d">
        <v>2023-10-13</v>
      </c>
      <c r="C949" t="s">
        <v>961</v>
      </c>
      <c r="D949" t="s">
        <v>13</v>
      </c>
      <c r="E949" s="2">
        <v>23</v>
      </c>
      <c r="F949" t="s">
        <v>16</v>
      </c>
      <c r="G949" s="2">
        <v>3</v>
      </c>
      <c r="H949" s="15">
        <v>25</v>
      </c>
      <c r="I949" s="14">
        <v>75</v>
      </c>
    </row>
    <row r="950" spans="1:9" x14ac:dyDescent="0.25">
      <c r="A950">
        <v>949</v>
      </c>
      <c r="B950" s="1" t="d">
        <v>2023-08-02</v>
      </c>
      <c r="C950" t="s">
        <v>962</v>
      </c>
      <c r="D950" t="s">
        <v>13</v>
      </c>
      <c r="E950" s="2">
        <v>41</v>
      </c>
      <c r="F950" t="s">
        <v>16</v>
      </c>
      <c r="G950" s="2">
        <v>2</v>
      </c>
      <c r="H950" s="15">
        <v>25</v>
      </c>
      <c r="I950" s="14">
        <v>50</v>
      </c>
    </row>
    <row r="951" spans="1:9" x14ac:dyDescent="0.25">
      <c r="A951">
        <v>950</v>
      </c>
      <c r="B951" s="1" t="d">
        <v>2023-11-07</v>
      </c>
      <c r="C951" t="s">
        <v>963</v>
      </c>
      <c r="D951" t="s">
        <v>10</v>
      </c>
      <c r="E951" s="2">
        <v>36</v>
      </c>
      <c r="F951" t="s">
        <v>14</v>
      </c>
      <c r="G951" s="2">
        <v>3</v>
      </c>
      <c r="H951" s="15">
        <v>300</v>
      </c>
      <c r="I951" s="14">
        <v>900</v>
      </c>
    </row>
    <row r="952" spans="1:9" x14ac:dyDescent="0.25">
      <c r="A952">
        <v>951</v>
      </c>
      <c r="B952" s="1" t="d">
        <v>2023-11-02</v>
      </c>
      <c r="C952" t="s">
        <v>964</v>
      </c>
      <c r="D952" t="s">
        <v>10</v>
      </c>
      <c r="E952" s="2">
        <v>33</v>
      </c>
      <c r="F952" t="s">
        <v>11</v>
      </c>
      <c r="G952" s="2">
        <v>2</v>
      </c>
      <c r="H952" s="15">
        <v>50</v>
      </c>
      <c r="I952" s="14">
        <v>100</v>
      </c>
    </row>
    <row r="953" spans="1:9" x14ac:dyDescent="0.25">
      <c r="A953">
        <v>952</v>
      </c>
      <c r="B953" s="1" t="d">
        <v>2023-11-13</v>
      </c>
      <c r="C953" t="s">
        <v>965</v>
      </c>
      <c r="D953" t="s">
        <v>13</v>
      </c>
      <c r="E953" s="2">
        <v>57</v>
      </c>
      <c r="F953" t="s">
        <v>14</v>
      </c>
      <c r="G953" s="2">
        <v>1</v>
      </c>
      <c r="H953" s="15">
        <v>25</v>
      </c>
      <c r="I953" s="14">
        <v>25</v>
      </c>
    </row>
    <row r="954" spans="1:9" x14ac:dyDescent="0.25">
      <c r="A954">
        <v>953</v>
      </c>
      <c r="B954" s="1" t="d">
        <v>2023-04-26</v>
      </c>
      <c r="C954" t="s">
        <v>966</v>
      </c>
      <c r="D954" t="s">
        <v>10</v>
      </c>
      <c r="E954" s="2">
        <v>45</v>
      </c>
      <c r="F954" t="s">
        <v>11</v>
      </c>
      <c r="G954" s="2">
        <v>3</v>
      </c>
      <c r="H954" s="15">
        <v>30</v>
      </c>
      <c r="I954" s="14">
        <v>90</v>
      </c>
    </row>
    <row r="955" spans="1:9" x14ac:dyDescent="0.25">
      <c r="A955">
        <v>954</v>
      </c>
      <c r="B955" s="1" t="d">
        <v>2023-09-25</v>
      </c>
      <c r="C955" t="s">
        <v>967</v>
      </c>
      <c r="D955" t="s">
        <v>13</v>
      </c>
      <c r="E955" s="2">
        <v>50</v>
      </c>
      <c r="F955" t="s">
        <v>16</v>
      </c>
      <c r="G955" s="2">
        <v>3</v>
      </c>
      <c r="H955" s="15">
        <v>300</v>
      </c>
      <c r="I955" s="14">
        <v>900</v>
      </c>
    </row>
    <row r="956" spans="1:9" x14ac:dyDescent="0.25">
      <c r="A956">
        <v>955</v>
      </c>
      <c r="B956" s="1" t="d">
        <v>2023-07-14</v>
      </c>
      <c r="C956" t="s">
        <v>968</v>
      </c>
      <c r="D956" t="s">
        <v>10</v>
      </c>
      <c r="E956" s="2">
        <v>58</v>
      </c>
      <c r="F956" t="s">
        <v>14</v>
      </c>
      <c r="G956" s="2">
        <v>1</v>
      </c>
      <c r="H956" s="15">
        <v>25</v>
      </c>
      <c r="I956" s="14">
        <v>25</v>
      </c>
    </row>
    <row r="957" spans="1:9" x14ac:dyDescent="0.25">
      <c r="A957">
        <v>956</v>
      </c>
      <c r="B957" s="1" t="d">
        <v>2023-08-19</v>
      </c>
      <c r="C957" t="s">
        <v>969</v>
      </c>
      <c r="D957" t="s">
        <v>10</v>
      </c>
      <c r="E957" s="2">
        <v>30</v>
      </c>
      <c r="F957" t="s">
        <v>14</v>
      </c>
      <c r="G957" s="2">
        <v>3</v>
      </c>
      <c r="H957" s="15">
        <v>500</v>
      </c>
      <c r="I957" s="14">
        <v>1500</v>
      </c>
    </row>
    <row r="958" spans="1:9" x14ac:dyDescent="0.25">
      <c r="A958">
        <v>957</v>
      </c>
      <c r="B958" s="1" t="d">
        <v>2023-08-15</v>
      </c>
      <c r="C958" t="s">
        <v>970</v>
      </c>
      <c r="D958" t="s">
        <v>13</v>
      </c>
      <c r="E958" s="2">
        <v>60</v>
      </c>
      <c r="F958" t="s">
        <v>16</v>
      </c>
      <c r="G958" s="2">
        <v>4</v>
      </c>
      <c r="H958" s="15">
        <v>30</v>
      </c>
      <c r="I958" s="14">
        <v>120</v>
      </c>
    </row>
    <row r="959" spans="1:9" x14ac:dyDescent="0.25">
      <c r="A959">
        <v>958</v>
      </c>
      <c r="B959" s="1" t="d">
        <v>2023-06-02</v>
      </c>
      <c r="C959" t="s">
        <v>971</v>
      </c>
      <c r="D959" t="s">
        <v>10</v>
      </c>
      <c r="E959" s="2">
        <v>62</v>
      </c>
      <c r="F959" t="s">
        <v>16</v>
      </c>
      <c r="G959" s="2">
        <v>2</v>
      </c>
      <c r="H959" s="15">
        <v>25</v>
      </c>
      <c r="I959" s="14">
        <v>50</v>
      </c>
    </row>
    <row r="960" spans="1:9" x14ac:dyDescent="0.25">
      <c r="A960">
        <v>959</v>
      </c>
      <c r="B960" s="1" t="d">
        <v>2023-10-29</v>
      </c>
      <c r="C960" t="s">
        <v>972</v>
      </c>
      <c r="D960" t="s">
        <v>13</v>
      </c>
      <c r="E960" s="2">
        <v>42</v>
      </c>
      <c r="F960" t="s">
        <v>16</v>
      </c>
      <c r="G960" s="2">
        <v>2</v>
      </c>
      <c r="H960" s="15">
        <v>30</v>
      </c>
      <c r="I960" s="14">
        <v>60</v>
      </c>
    </row>
    <row r="961" spans="1:9" x14ac:dyDescent="0.25">
      <c r="A961">
        <v>960</v>
      </c>
      <c r="B961" s="1" t="d">
        <v>2023-08-08</v>
      </c>
      <c r="C961" t="s">
        <v>973</v>
      </c>
      <c r="D961" t="s">
        <v>10</v>
      </c>
      <c r="E961" s="2">
        <v>59</v>
      </c>
      <c r="F961" t="s">
        <v>14</v>
      </c>
      <c r="G961" s="2">
        <v>2</v>
      </c>
      <c r="H961" s="15">
        <v>30</v>
      </c>
      <c r="I961" s="14">
        <v>60</v>
      </c>
    </row>
    <row r="962" spans="1:9" x14ac:dyDescent="0.25">
      <c r="A962">
        <v>961</v>
      </c>
      <c r="B962" s="1" t="d">
        <v>2023-06-06</v>
      </c>
      <c r="C962" t="s">
        <v>974</v>
      </c>
      <c r="D962" t="s">
        <v>10</v>
      </c>
      <c r="E962" s="2">
        <v>53</v>
      </c>
      <c r="F962" t="s">
        <v>11</v>
      </c>
      <c r="G962" s="2">
        <v>4</v>
      </c>
      <c r="H962" s="15">
        <v>50</v>
      </c>
      <c r="I962" s="14">
        <v>200</v>
      </c>
    </row>
    <row r="963" spans="1:9" x14ac:dyDescent="0.25">
      <c r="A963">
        <v>962</v>
      </c>
      <c r="B963" s="1" t="d">
        <v>2023-10-19</v>
      </c>
      <c r="C963" t="s">
        <v>975</v>
      </c>
      <c r="D963" t="s">
        <v>10</v>
      </c>
      <c r="E963" s="2">
        <v>44</v>
      </c>
      <c r="F963" t="s">
        <v>14</v>
      </c>
      <c r="G963" s="2">
        <v>2</v>
      </c>
      <c r="H963" s="15">
        <v>30</v>
      </c>
      <c r="I963" s="14">
        <v>60</v>
      </c>
    </row>
    <row r="964" spans="1:9" x14ac:dyDescent="0.25">
      <c r="A964">
        <v>963</v>
      </c>
      <c r="B964" s="1" t="d">
        <v>2023-11-14</v>
      </c>
      <c r="C964" t="s">
        <v>976</v>
      </c>
      <c r="D964" t="s">
        <v>13</v>
      </c>
      <c r="E964" s="2">
        <v>55</v>
      </c>
      <c r="F964" t="s">
        <v>11</v>
      </c>
      <c r="G964" s="2">
        <v>1</v>
      </c>
      <c r="H964" s="15">
        <v>50</v>
      </c>
      <c r="I964" s="14">
        <v>50</v>
      </c>
    </row>
    <row r="965" spans="1:9" x14ac:dyDescent="0.25">
      <c r="A965">
        <v>964</v>
      </c>
      <c r="B965" s="1" t="d">
        <v>2023-01-31</v>
      </c>
      <c r="C965" t="s">
        <v>977</v>
      </c>
      <c r="D965" t="s">
        <v>10</v>
      </c>
      <c r="E965" s="2">
        <v>24</v>
      </c>
      <c r="F965" t="s">
        <v>14</v>
      </c>
      <c r="G965" s="2">
        <v>3</v>
      </c>
      <c r="H965" s="15">
        <v>300</v>
      </c>
      <c r="I965" s="14">
        <v>900</v>
      </c>
    </row>
    <row r="966" spans="1:9" x14ac:dyDescent="0.25">
      <c r="A966">
        <v>965</v>
      </c>
      <c r="B966" s="1" t="d">
        <v>2023-11-09</v>
      </c>
      <c r="C966" t="s">
        <v>978</v>
      </c>
      <c r="D966" t="s">
        <v>10</v>
      </c>
      <c r="E966" s="2">
        <v>22</v>
      </c>
      <c r="F966" t="s">
        <v>14</v>
      </c>
      <c r="G966" s="2">
        <v>4</v>
      </c>
      <c r="H966" s="15">
        <v>50</v>
      </c>
      <c r="I966" s="14">
        <v>200</v>
      </c>
    </row>
    <row r="967" spans="1:9" x14ac:dyDescent="0.25">
      <c r="A967">
        <v>966</v>
      </c>
      <c r="B967" s="1" t="d">
        <v>2023-02-20</v>
      </c>
      <c r="C967" t="s">
        <v>979</v>
      </c>
      <c r="D967" t="s">
        <v>10</v>
      </c>
      <c r="E967" s="2">
        <v>60</v>
      </c>
      <c r="F967" t="s">
        <v>16</v>
      </c>
      <c r="G967" s="2">
        <v>2</v>
      </c>
      <c r="H967" s="15">
        <v>500</v>
      </c>
      <c r="I967" s="14">
        <v>1000</v>
      </c>
    </row>
    <row r="968" spans="1:9" x14ac:dyDescent="0.25">
      <c r="A968">
        <v>967</v>
      </c>
      <c r="B968" s="1" t="d">
        <v>2023-04-17</v>
      </c>
      <c r="C968" t="s">
        <v>980</v>
      </c>
      <c r="D968" t="s">
        <v>10</v>
      </c>
      <c r="E968" s="2">
        <v>62</v>
      </c>
      <c r="F968" t="s">
        <v>11</v>
      </c>
      <c r="G968" s="2">
        <v>1</v>
      </c>
      <c r="H968" s="15">
        <v>25</v>
      </c>
      <c r="I968" s="14">
        <v>25</v>
      </c>
    </row>
    <row r="969" spans="1:9" x14ac:dyDescent="0.25">
      <c r="A969">
        <v>968</v>
      </c>
      <c r="B969" s="1" t="d">
        <v>2023-11-17</v>
      </c>
      <c r="C969" t="s">
        <v>981</v>
      </c>
      <c r="D969" t="s">
        <v>13</v>
      </c>
      <c r="E969" s="2">
        <v>48</v>
      </c>
      <c r="F969" t="s">
        <v>14</v>
      </c>
      <c r="G969" s="2">
        <v>3</v>
      </c>
      <c r="H969" s="15">
        <v>300</v>
      </c>
      <c r="I969" s="14">
        <v>900</v>
      </c>
    </row>
    <row r="970" spans="1:9" x14ac:dyDescent="0.25">
      <c r="A970">
        <v>969</v>
      </c>
      <c r="B970" s="1" t="d">
        <v>2023-04-19</v>
      </c>
      <c r="C970" t="s">
        <v>982</v>
      </c>
      <c r="D970" t="s">
        <v>13</v>
      </c>
      <c r="E970" s="2">
        <v>40</v>
      </c>
      <c r="F970" t="s">
        <v>14</v>
      </c>
      <c r="G970" s="2">
        <v>3</v>
      </c>
      <c r="H970" s="15">
        <v>300</v>
      </c>
      <c r="I970" s="14">
        <v>900</v>
      </c>
    </row>
    <row r="971" spans="1:9" x14ac:dyDescent="0.25">
      <c r="A971">
        <v>970</v>
      </c>
      <c r="B971" s="1" t="d">
        <v>2023-05-16</v>
      </c>
      <c r="C971" t="s">
        <v>983</v>
      </c>
      <c r="D971" t="s">
        <v>10</v>
      </c>
      <c r="E971" s="2">
        <v>59</v>
      </c>
      <c r="F971" t="s">
        <v>16</v>
      </c>
      <c r="G971" s="2">
        <v>4</v>
      </c>
      <c r="H971" s="15">
        <v>500</v>
      </c>
      <c r="I971" s="14">
        <v>2000</v>
      </c>
    </row>
    <row r="972" spans="1:9" x14ac:dyDescent="0.25">
      <c r="A972">
        <v>971</v>
      </c>
      <c r="B972" s="1" t="d">
        <v>2023-12-05</v>
      </c>
      <c r="C972" t="s">
        <v>984</v>
      </c>
      <c r="D972" t="s">
        <v>13</v>
      </c>
      <c r="E972" s="2">
        <v>27</v>
      </c>
      <c r="F972" t="s">
        <v>16</v>
      </c>
      <c r="G972" s="2">
        <v>4</v>
      </c>
      <c r="H972" s="15">
        <v>50</v>
      </c>
      <c r="I972" s="14">
        <v>200</v>
      </c>
    </row>
    <row r="973" spans="1:9" x14ac:dyDescent="0.25">
      <c r="A973">
        <v>972</v>
      </c>
      <c r="B973" s="1" t="d">
        <v>2023-02-11</v>
      </c>
      <c r="C973" t="s">
        <v>985</v>
      </c>
      <c r="D973" t="s">
        <v>10</v>
      </c>
      <c r="E973" s="2">
        <v>49</v>
      </c>
      <c r="F973" t="s">
        <v>11</v>
      </c>
      <c r="G973" s="2">
        <v>4</v>
      </c>
      <c r="H973" s="15">
        <v>25</v>
      </c>
      <c r="I973" s="14">
        <v>100</v>
      </c>
    </row>
    <row r="974" spans="1:9" x14ac:dyDescent="0.25">
      <c r="A974">
        <v>973</v>
      </c>
      <c r="B974" s="1" t="d">
        <v>2023-03-22</v>
      </c>
      <c r="C974" t="s">
        <v>986</v>
      </c>
      <c r="D974" t="s">
        <v>10</v>
      </c>
      <c r="E974" s="2">
        <v>60</v>
      </c>
      <c r="F974" t="s">
        <v>14</v>
      </c>
      <c r="G974" s="2">
        <v>1</v>
      </c>
      <c r="H974" s="15">
        <v>50</v>
      </c>
      <c r="I974" s="14">
        <v>50</v>
      </c>
    </row>
    <row r="975" spans="1:9" x14ac:dyDescent="0.25">
      <c r="A975">
        <v>974</v>
      </c>
      <c r="B975" s="1" t="d">
        <v>2023-05-03</v>
      </c>
      <c r="C975" t="s">
        <v>987</v>
      </c>
      <c r="D975" t="s">
        <v>10</v>
      </c>
      <c r="E975" s="2">
        <v>47</v>
      </c>
      <c r="F975" t="s">
        <v>11</v>
      </c>
      <c r="G975" s="2">
        <v>1</v>
      </c>
      <c r="H975" s="15">
        <v>30</v>
      </c>
      <c r="I975" s="14">
        <v>30</v>
      </c>
    </row>
    <row r="976" spans="1:9" x14ac:dyDescent="0.25">
      <c r="A976">
        <v>975</v>
      </c>
      <c r="B976" s="1" t="d">
        <v>2023-03-30</v>
      </c>
      <c r="C976" t="s">
        <v>988</v>
      </c>
      <c r="D976" t="s">
        <v>13</v>
      </c>
      <c r="E976" s="2">
        <v>56</v>
      </c>
      <c r="F976" t="s">
        <v>14</v>
      </c>
      <c r="G976" s="2">
        <v>4</v>
      </c>
      <c r="H976" s="15">
        <v>50</v>
      </c>
      <c r="I976" s="14">
        <v>200</v>
      </c>
    </row>
    <row r="977" spans="1:9" x14ac:dyDescent="0.25">
      <c r="A977">
        <v>976</v>
      </c>
      <c r="B977" s="1" t="d">
        <v>2023-10-10</v>
      </c>
      <c r="C977" t="s">
        <v>989</v>
      </c>
      <c r="D977" t="s">
        <v>13</v>
      </c>
      <c r="E977" s="2">
        <v>48</v>
      </c>
      <c r="F977" t="s">
        <v>11</v>
      </c>
      <c r="G977" s="2">
        <v>2</v>
      </c>
      <c r="H977" s="15">
        <v>300</v>
      </c>
      <c r="I977" s="14">
        <v>600</v>
      </c>
    </row>
    <row r="978" spans="1:9" x14ac:dyDescent="0.25">
      <c r="A978">
        <v>977</v>
      </c>
      <c r="B978" s="1" t="d">
        <v>2023-02-08</v>
      </c>
      <c r="C978" t="s">
        <v>990</v>
      </c>
      <c r="D978" t="s">
        <v>13</v>
      </c>
      <c r="E978" s="2">
        <v>35</v>
      </c>
      <c r="F978" t="s">
        <v>16</v>
      </c>
      <c r="G978" s="2">
        <v>3</v>
      </c>
      <c r="H978" s="15">
        <v>25</v>
      </c>
      <c r="I978" s="14">
        <v>75</v>
      </c>
    </row>
    <row r="979" spans="1:9" x14ac:dyDescent="0.25">
      <c r="A979">
        <v>978</v>
      </c>
      <c r="B979" s="1" t="d">
        <v>2023-03-22</v>
      </c>
      <c r="C979" t="s">
        <v>991</v>
      </c>
      <c r="D979" t="s">
        <v>13</v>
      </c>
      <c r="E979" s="2">
        <v>53</v>
      </c>
      <c r="F979" t="s">
        <v>14</v>
      </c>
      <c r="G979" s="2">
        <v>3</v>
      </c>
      <c r="H979" s="15">
        <v>50</v>
      </c>
      <c r="I979" s="14">
        <v>150</v>
      </c>
    </row>
    <row r="980" spans="1:9" x14ac:dyDescent="0.25">
      <c r="A980">
        <v>979</v>
      </c>
      <c r="B980" s="1" t="d">
        <v>2023-01-02</v>
      </c>
      <c r="C980" t="s">
        <v>992</v>
      </c>
      <c r="D980" t="s">
        <v>13</v>
      </c>
      <c r="E980" s="2">
        <v>19</v>
      </c>
      <c r="F980" t="s">
        <v>11</v>
      </c>
      <c r="G980" s="2">
        <v>1</v>
      </c>
      <c r="H980" s="15">
        <v>25</v>
      </c>
      <c r="I980" s="14">
        <v>25</v>
      </c>
    </row>
    <row r="981" spans="1:9" x14ac:dyDescent="0.25">
      <c r="A981">
        <v>980</v>
      </c>
      <c r="B981" s="1" t="d">
        <v>2023-07-29</v>
      </c>
      <c r="C981" t="s">
        <v>993</v>
      </c>
      <c r="D981" t="s">
        <v>13</v>
      </c>
      <c r="E981" s="2">
        <v>31</v>
      </c>
      <c r="F981" t="s">
        <v>16</v>
      </c>
      <c r="G981" s="2">
        <v>3</v>
      </c>
      <c r="H981" s="15">
        <v>25</v>
      </c>
      <c r="I981" s="14">
        <v>75</v>
      </c>
    </row>
    <row r="982" spans="1:9" x14ac:dyDescent="0.25">
      <c r="A982">
        <v>981</v>
      </c>
      <c r="B982" s="1" t="d">
        <v>2023-08-19</v>
      </c>
      <c r="C982" t="s">
        <v>994</v>
      </c>
      <c r="D982" t="s">
        <v>13</v>
      </c>
      <c r="E982" s="2">
        <v>30</v>
      </c>
      <c r="F982" t="s">
        <v>16</v>
      </c>
      <c r="G982" s="2">
        <v>2</v>
      </c>
      <c r="H982" s="15">
        <v>30</v>
      </c>
      <c r="I982" s="14">
        <v>60</v>
      </c>
    </row>
    <row r="983" spans="1:9" x14ac:dyDescent="0.25">
      <c r="A983">
        <v>982</v>
      </c>
      <c r="B983" s="1" t="d">
        <v>2023-12-19</v>
      </c>
      <c r="C983" t="s">
        <v>995</v>
      </c>
      <c r="D983" t="s">
        <v>13</v>
      </c>
      <c r="E983" s="2">
        <v>46</v>
      </c>
      <c r="F983" t="s">
        <v>11</v>
      </c>
      <c r="G983" s="2">
        <v>3</v>
      </c>
      <c r="H983" s="15">
        <v>30</v>
      </c>
      <c r="I983" s="14">
        <v>90</v>
      </c>
    </row>
    <row r="984" spans="1:9" x14ac:dyDescent="0.25">
      <c r="A984">
        <v>983</v>
      </c>
      <c r="B984" s="1" t="d">
        <v>2023-11-01</v>
      </c>
      <c r="C984" t="s">
        <v>996</v>
      </c>
      <c r="D984" t="s">
        <v>13</v>
      </c>
      <c r="E984" s="2">
        <v>29</v>
      </c>
      <c r="F984" t="s">
        <v>14</v>
      </c>
      <c r="G984" s="2">
        <v>1</v>
      </c>
      <c r="H984" s="15">
        <v>300</v>
      </c>
      <c r="I984" s="14">
        <v>300</v>
      </c>
    </row>
    <row r="985" spans="1:9" x14ac:dyDescent="0.25">
      <c r="A985">
        <v>984</v>
      </c>
      <c r="B985" s="1" t="d">
        <v>2023-08-29</v>
      </c>
      <c r="C985" t="s">
        <v>997</v>
      </c>
      <c r="D985" t="s">
        <v>10</v>
      </c>
      <c r="E985" s="2">
        <v>56</v>
      </c>
      <c r="F985" t="s">
        <v>14</v>
      </c>
      <c r="G985" s="2">
        <v>1</v>
      </c>
      <c r="H985" s="15">
        <v>500</v>
      </c>
      <c r="I985" s="14">
        <v>500</v>
      </c>
    </row>
    <row r="986" spans="1:9" x14ac:dyDescent="0.25">
      <c r="A986">
        <v>985</v>
      </c>
      <c r="B986" s="1" t="d">
        <v>2023-05-30</v>
      </c>
      <c r="C986" t="s">
        <v>998</v>
      </c>
      <c r="D986" t="s">
        <v>13</v>
      </c>
      <c r="E986" s="2">
        <v>19</v>
      </c>
      <c r="F986" t="s">
        <v>16</v>
      </c>
      <c r="G986" s="2">
        <v>2</v>
      </c>
      <c r="H986" s="15">
        <v>25</v>
      </c>
      <c r="I986" s="14">
        <v>50</v>
      </c>
    </row>
    <row r="987" spans="1:9" x14ac:dyDescent="0.25">
      <c r="A987">
        <v>986</v>
      </c>
      <c r="B987" s="1" t="d">
        <v>2023-01-17</v>
      </c>
      <c r="C987" t="s">
        <v>999</v>
      </c>
      <c r="D987" t="s">
        <v>13</v>
      </c>
      <c r="E987" s="2">
        <v>49</v>
      </c>
      <c r="F987" t="s">
        <v>14</v>
      </c>
      <c r="G987" s="2">
        <v>2</v>
      </c>
      <c r="H987" s="15">
        <v>500</v>
      </c>
      <c r="I987" s="14">
        <v>1000</v>
      </c>
    </row>
    <row r="988" spans="1:9" x14ac:dyDescent="0.25">
      <c r="A988">
        <v>987</v>
      </c>
      <c r="B988" s="1" t="d">
        <v>2023-04-29</v>
      </c>
      <c r="C988" t="s">
        <v>1000</v>
      </c>
      <c r="D988" t="s">
        <v>13</v>
      </c>
      <c r="E988" s="2">
        <v>30</v>
      </c>
      <c r="F988" t="s">
        <v>14</v>
      </c>
      <c r="G988" s="2">
        <v>3</v>
      </c>
      <c r="H988" s="15">
        <v>300</v>
      </c>
      <c r="I988" s="14">
        <v>900</v>
      </c>
    </row>
    <row r="989" spans="1:9" x14ac:dyDescent="0.25">
      <c r="A989">
        <v>988</v>
      </c>
      <c r="B989" s="1" t="d">
        <v>2023-05-28</v>
      </c>
      <c r="C989" t="s">
        <v>1001</v>
      </c>
      <c r="D989" t="s">
        <v>13</v>
      </c>
      <c r="E989" s="2">
        <v>63</v>
      </c>
      <c r="F989" t="s">
        <v>14</v>
      </c>
      <c r="G989" s="2">
        <v>3</v>
      </c>
      <c r="H989" s="15">
        <v>25</v>
      </c>
      <c r="I989" s="14">
        <v>75</v>
      </c>
    </row>
    <row r="990" spans="1:9" x14ac:dyDescent="0.25">
      <c r="A990">
        <v>989</v>
      </c>
      <c r="B990" s="1" t="d">
        <v>2023-12-28</v>
      </c>
      <c r="C990" t="s">
        <v>1002</v>
      </c>
      <c r="D990" t="s">
        <v>13</v>
      </c>
      <c r="E990" s="2">
        <v>44</v>
      </c>
      <c r="F990" t="s">
        <v>16</v>
      </c>
      <c r="G990" s="2">
        <v>1</v>
      </c>
      <c r="H990" s="15">
        <v>25</v>
      </c>
      <c r="I990" s="14">
        <v>25</v>
      </c>
    </row>
    <row r="991" spans="1:9" x14ac:dyDescent="0.25">
      <c r="A991">
        <v>990</v>
      </c>
      <c r="B991" s="1" t="d">
        <v>2023-05-25</v>
      </c>
      <c r="C991" t="s">
        <v>1003</v>
      </c>
      <c r="D991" t="s">
        <v>13</v>
      </c>
      <c r="E991" s="2">
        <v>58</v>
      </c>
      <c r="F991" t="s">
        <v>11</v>
      </c>
      <c r="G991" s="2">
        <v>2</v>
      </c>
      <c r="H991" s="15">
        <v>500</v>
      </c>
      <c r="I991" s="14">
        <v>1000</v>
      </c>
    </row>
    <row r="992" spans="1:9" x14ac:dyDescent="0.25">
      <c r="A992">
        <v>991</v>
      </c>
      <c r="B992" s="1" t="d">
        <v>2023-12-26</v>
      </c>
      <c r="C992" t="s">
        <v>1004</v>
      </c>
      <c r="D992" t="s">
        <v>13</v>
      </c>
      <c r="E992" s="2">
        <v>34</v>
      </c>
      <c r="F992" t="s">
        <v>14</v>
      </c>
      <c r="G992" s="2">
        <v>2</v>
      </c>
      <c r="H992" s="15">
        <v>50</v>
      </c>
      <c r="I992" s="14">
        <v>100</v>
      </c>
    </row>
    <row r="993" spans="1:9" x14ac:dyDescent="0.25">
      <c r="A993">
        <v>992</v>
      </c>
      <c r="B993" s="1" t="d">
        <v>2023-08-21</v>
      </c>
      <c r="C993" t="s">
        <v>1005</v>
      </c>
      <c r="D993" t="s">
        <v>13</v>
      </c>
      <c r="E993" s="2">
        <v>57</v>
      </c>
      <c r="F993" t="s">
        <v>16</v>
      </c>
      <c r="G993" s="2">
        <v>2</v>
      </c>
      <c r="H993" s="15">
        <v>30</v>
      </c>
      <c r="I993" s="14">
        <v>60</v>
      </c>
    </row>
    <row r="994" spans="1:9" x14ac:dyDescent="0.25">
      <c r="A994">
        <v>993</v>
      </c>
      <c r="B994" s="1" t="d">
        <v>2023-02-06</v>
      </c>
      <c r="C994" t="s">
        <v>1006</v>
      </c>
      <c r="D994" t="s">
        <v>13</v>
      </c>
      <c r="E994" s="2">
        <v>48</v>
      </c>
      <c r="F994" t="s">
        <v>16</v>
      </c>
      <c r="G994" s="2">
        <v>3</v>
      </c>
      <c r="H994" s="15">
        <v>50</v>
      </c>
      <c r="I994" s="14">
        <v>150</v>
      </c>
    </row>
    <row r="995" spans="1:9" x14ac:dyDescent="0.25">
      <c r="A995">
        <v>994</v>
      </c>
      <c r="B995" s="1" t="d">
        <v>2023-12-18</v>
      </c>
      <c r="C995" t="s">
        <v>1007</v>
      </c>
      <c r="D995" t="s">
        <v>13</v>
      </c>
      <c r="E995" s="2">
        <v>51</v>
      </c>
      <c r="F995" t="s">
        <v>11</v>
      </c>
      <c r="G995" s="2">
        <v>2</v>
      </c>
      <c r="H995" s="15">
        <v>500</v>
      </c>
      <c r="I995" s="14">
        <v>1000</v>
      </c>
    </row>
    <row r="996" spans="1:9" x14ac:dyDescent="0.25">
      <c r="A996">
        <v>995</v>
      </c>
      <c r="B996" s="1" t="d">
        <v>2023-04-30</v>
      </c>
      <c r="C996" t="s">
        <v>1008</v>
      </c>
      <c r="D996" t="s">
        <v>13</v>
      </c>
      <c r="E996" s="2">
        <v>41</v>
      </c>
      <c r="F996" t="s">
        <v>14</v>
      </c>
      <c r="G996" s="2">
        <v>1</v>
      </c>
      <c r="H996" s="15">
        <v>30</v>
      </c>
      <c r="I996" s="14">
        <v>30</v>
      </c>
    </row>
    <row r="997" spans="1:9" x14ac:dyDescent="0.25">
      <c r="A997">
        <v>996</v>
      </c>
      <c r="B997" s="1" t="d">
        <v>2023-05-16</v>
      </c>
      <c r="C997" t="s">
        <v>1009</v>
      </c>
      <c r="D997" t="s">
        <v>10</v>
      </c>
      <c r="E997" s="2">
        <v>62</v>
      </c>
      <c r="F997" t="s">
        <v>14</v>
      </c>
      <c r="G997" s="2">
        <v>1</v>
      </c>
      <c r="H997" s="15">
        <v>50</v>
      </c>
      <c r="I997" s="14">
        <v>50</v>
      </c>
    </row>
    <row r="998" spans="1:9" x14ac:dyDescent="0.25">
      <c r="A998">
        <v>997</v>
      </c>
      <c r="B998" s="1" t="d">
        <v>2023-11-17</v>
      </c>
      <c r="C998" t="s">
        <v>1010</v>
      </c>
      <c r="D998" t="s">
        <v>10</v>
      </c>
      <c r="E998" s="2">
        <v>52</v>
      </c>
      <c r="F998" t="s">
        <v>11</v>
      </c>
      <c r="G998" s="2">
        <v>3</v>
      </c>
      <c r="H998" s="15">
        <v>30</v>
      </c>
      <c r="I998" s="14">
        <v>90</v>
      </c>
    </row>
    <row r="999" spans="1:9" x14ac:dyDescent="0.25">
      <c r="A999">
        <v>998</v>
      </c>
      <c r="B999" s="1" t="d">
        <v>2023-10-29</v>
      </c>
      <c r="C999" t="s">
        <v>1011</v>
      </c>
      <c r="D999" t="s">
        <v>13</v>
      </c>
      <c r="E999" s="2">
        <v>23</v>
      </c>
      <c r="F999" t="s">
        <v>11</v>
      </c>
      <c r="G999" s="2">
        <v>4</v>
      </c>
      <c r="H999" s="15">
        <v>25</v>
      </c>
      <c r="I999" s="14">
        <v>100</v>
      </c>
    </row>
    <row r="1000" spans="1:9" x14ac:dyDescent="0.25">
      <c r="A1000">
        <v>999</v>
      </c>
      <c r="B1000" s="1" t="d">
        <v>2023-12-05</v>
      </c>
      <c r="C1000" t="s">
        <v>1012</v>
      </c>
      <c r="D1000" t="s">
        <v>13</v>
      </c>
      <c r="E1000" s="2">
        <v>36</v>
      </c>
      <c r="F1000" t="s">
        <v>16</v>
      </c>
      <c r="G1000" s="2">
        <v>3</v>
      </c>
      <c r="H1000" s="15">
        <v>50</v>
      </c>
      <c r="I1000" s="14">
        <v>150</v>
      </c>
    </row>
    <row r="1001" spans="1:9" x14ac:dyDescent="0.25">
      <c r="A1001">
        <v>1000</v>
      </c>
      <c r="B1001" s="1" t="d">
        <v>2023-04-12</v>
      </c>
      <c r="C1001" t="s">
        <v>1013</v>
      </c>
      <c r="D1001" t="s">
        <v>10</v>
      </c>
      <c r="E1001" s="2">
        <v>47</v>
      </c>
      <c r="F1001" t="s">
        <v>16</v>
      </c>
      <c r="G1001" s="2">
        <v>4</v>
      </c>
      <c r="H1001" s="15">
        <v>30</v>
      </c>
      <c r="I1001" s="14">
        <v>120</v>
      </c>
    </row>
  </sheetData>
  <pageMargins left="0.7" right="0.7" top="0.75" bottom="0.75" header="0.3" footer="0.3"/>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retail_sales_dataset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simpson</dc:creator>
  <cp:lastModifiedBy>Blake</cp:lastModifiedBy>
  <dcterms:created xsi:type="dcterms:W3CDTF">2026-03-16T02:06:13Z</dcterms:created>
  <dcterms:modified xsi:type="dcterms:W3CDTF">2026-03-18T04:11:44Z</dcterms:modified>
</cp:coreProperties>
</file>